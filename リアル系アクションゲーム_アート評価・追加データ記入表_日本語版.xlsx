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概要" sheetId="1" r:id="rId5"/>
    <sheet state="visible" name="採点入力" sheetId="2" r:id="rId6"/>
    <sheet state="visible" name="60項目の基準" sheetId="3" r:id="rId7"/>
    <sheet state="visible" name="追加データ一覧" sheetId="4" r:id="rId8"/>
    <sheet state="visible" name="使用方法" sheetId="5" r:id="rId9"/>
  </sheets>
  <definedNames/>
  <calcPr/>
</workbook>
</file>

<file path=xl/sharedStrings.xml><?xml version="1.0" encoding="utf-8"?>
<sst xmlns="http://schemas.openxmlformats.org/spreadsheetml/2006/main" count="1165" uniqueCount="609">
  <si>
    <t>リアル系アクションゲームの製品アートレビュー</t>
  </si>
  <si>
    <t>プロジェクト</t>
  </si>
  <si>
    <t>メタルギア ライジング リベンジェンス リメイク（仮称）</t>
  </si>
  <si>
    <t>Build</t>
  </si>
  <si>
    <t>評価日</t>
  </si>
  <si>
    <t>評価者</t>
  </si>
  <si>
    <t>目標FPS</t>
  </si>
  <si>
    <t>出力／再構成</t>
  </si>
  <si>
    <t>ビジュアル総合スコア</t>
  </si>
  <si>
    <t>リアル系アクションゲームのアート基準（60項目）</t>
  </si>
  <si>
    <t>追加データ一覧</t>
  </si>
  <si>
    <t>スコア帯別ランク</t>
  </si>
  <si>
    <t>まず同一ビルドのPS5実機映像とパフォーマンス記録を入手し、その後にオン／オフ比較とパラメータの確認を行う。担当者が事実関係を確認してから、評価者が採点入力シートで採点する。</t>
  </si>
  <si>
    <t>3点は基本合格、4点は高品質な製品の基準とする。5点には高負荷シーンでも同等の完成度を維持することが求められる。技術方式やパラメータそのものは直接の加点対象としない。</t>
  </si>
  <si>
    <t>番号</t>
  </si>
  <si>
    <t>評価状況</t>
  </si>
  <si>
    <t>評価カテゴリ</t>
  </si>
  <si>
    <t>採点入力</t>
  </si>
  <si>
    <t>評価項目</t>
  </si>
  <si>
    <t>提出が必要なデータ／根拠資料</t>
  </si>
  <si>
    <t>パフォーマンス・操作応答</t>
  </si>
  <si>
    <t>満点時の加重点</t>
  </si>
  <si>
    <t>把握している事実</t>
  </si>
  <si>
    <t>3点：基本合格</t>
  </si>
  <si>
    <t>確認が必要な事項</t>
  </si>
  <si>
    <t>未検証</t>
  </si>
  <si>
    <t>黄色のセルが入力欄。通常シーンと高負荷シーンはいずれも0～5点で採点する。0点は実際の不合格、空欄は未評価を表す。両方のスコアが有効な場合のみ統合スコアを計算する。</t>
  </si>
  <si>
    <t>担当者</t>
  </si>
  <si>
    <t>4点：高品質</t>
  </si>
  <si>
    <t>採点完了</t>
  </si>
  <si>
    <t>最新の測定結果</t>
  </si>
  <si>
    <t>5点：最高水準の表現</t>
  </si>
  <si>
    <t>根拠資料へのリンク</t>
  </si>
  <si>
    <t>提出すべき根拠資料</t>
  </si>
  <si>
    <t>ビルド／測定日</t>
  </si>
  <si>
    <t>収集状況</t>
  </si>
  <si>
    <t>根拠資料の充足</t>
  </si>
  <si>
    <t>優先的な改善方針</t>
  </si>
  <si>
    <t>参考資料</t>
  </si>
  <si>
    <t>A1</t>
  </si>
  <si>
    <t>採点カバー率</t>
  </si>
  <si>
    <t>ビジュアルデザイン全般</t>
  </si>
  <si>
    <t>ビジュアル表現の統一</t>
  </si>
  <si>
    <t>通常シーンのスコア</t>
  </si>
  <si>
    <t>高負荷シーンのスコア</t>
  </si>
  <si>
    <t>アートスタイルガイド、各チャプターの固定カメラによる画像一覧</t>
  </si>
  <si>
    <t>根拠資料カバー率</t>
  </si>
  <si>
    <t>統合スコア／5</t>
  </si>
  <si>
    <t>獲得加重点</t>
  </si>
  <si>
    <t>同一レベル内で色彩、プロポーション、工業デザインに明らかな不整合がない</t>
  </si>
  <si>
    <t>両シーンの確認</t>
  </si>
  <si>
    <t>レベル間で一貫性を保ち、主要エリアごとの違いが明確に表現されている</t>
  </si>
  <si>
    <t>通常シーンの根拠資料</t>
  </si>
  <si>
    <t>作品全体に強い個性があり、細部まで一貫してテーマを支えている</t>
  </si>
  <si>
    <t>高負荷シーンの根拠資料</t>
  </si>
  <si>
    <t>レビュー対象</t>
  </si>
  <si>
    <t>ビルド／カメラ位置</t>
  </si>
  <si>
    <t>配点比率</t>
  </si>
  <si>
    <t>「ビジュアル表現の統一」について、通常シーンと高負荷シーンの不具合を記録し、プレイや映像の説得力に影響する問題を優先して修正する。</t>
  </si>
  <si>
    <t>カテゴリ別スコア／5</t>
  </si>
  <si>
    <t>加重点</t>
  </si>
  <si>
    <t>不具合と修正内容</t>
  </si>
  <si>
    <t>プロジェクト内の推奨基準。技術的な仕組みの根拠は付属レポートを参照</t>
  </si>
  <si>
    <t>4点までの差</t>
  </si>
  <si>
    <t>A</t>
  </si>
  <si>
    <t>A2</t>
  </si>
  <si>
    <t>目標スコア／5</t>
  </si>
  <si>
    <t>採点の充足</t>
  </si>
  <si>
    <t>構図と視覚的な優先順位</t>
  </si>
  <si>
    <t>目標達成による加点</t>
  </si>
  <si>
    <t>通常のカメラ視点で、主要な被写体と背景を見分けられる</t>
  </si>
  <si>
    <t>移動中、ロックオン中、多数の敵が入り乱れる戦闘中も、視覚的な優先順位が保たれる</t>
  </si>
  <si>
    <t>複雑なシーンでも自然に視線を誘導でき、見栄えも優れている</t>
  </si>
  <si>
    <t>通常シーン／高負荷シーンの戦闘動画、ターゲットの識別テスト</t>
  </si>
  <si>
    <t>「構図と視覚的な優先順位」について、通常シーンと高負荷シーンの不具合を記録し、プレイや映像の説得力に影響する問題を優先して修正する。</t>
  </si>
  <si>
    <t>A3</t>
  </si>
  <si>
    <t>空間とランドマーク</t>
  </si>
  <si>
    <t>進行ルート、ランドマーク、戦闘空間を識別できる</t>
  </si>
  <si>
    <t>似たシーンでも、構図や光・色の違いによって印象に残る特徴を作れている</t>
  </si>
  <si>
    <t>空間を通じた物語表現とゲームプレイが結びつき、連続性と独自性のある視覚体験を生み出している</t>
  </si>
  <si>
    <t>レベル内のルート、迷った箇所や誤認の記録</t>
  </si>
  <si>
    <t>「空間とランドマーク」について、通常シーンと高負荷シーンの不具合を記録し、プレイや映像の説得力に影響する問題を優先して修正する。</t>
  </si>
  <si>
    <t>A4</t>
  </si>
  <si>
    <t>色彩と明暗の設計</t>
  </si>
  <si>
    <t>B</t>
  </si>
  <si>
    <t>シーンとジオメトリ</t>
  </si>
  <si>
    <t>意図しない黒つぶれ、白飛び、階調の乏しい灰色の画面が広い範囲に発生しない</t>
  </si>
  <si>
    <t>光と色の変化がプレイのテンポを支え、敵のシルエットを安定して識別できる</t>
  </si>
  <si>
    <t>抑制の利いた豊かな明暗の階調がゲーム全編で保たれている</t>
  </si>
  <si>
    <t>各シーンの明るさ・色彩を確認できるスクリーンショット、露出設定</t>
  </si>
  <si>
    <t>「色彩と明暗の設計」について、通常シーンと高負荷シーンの不具合を記録し、プレイや映像の説得力に影響する問題を優先して修正する。</t>
  </si>
  <si>
    <t>A5</t>
  </si>
  <si>
    <t>リメイクにおける現代的な表現</t>
  </si>
  <si>
    <t>IPらしさを維持し、時代感に明らかな不整合がない</t>
  </si>
  <si>
    <t>原作の代表的なシーンが、プロポーション、ライティング、マテリアルの各面で統一感をもって再構築されている</t>
  </si>
  <si>
    <t>現代的なディテールと原作の雰囲気が融合し、リメイク独自の象徴的なカットがある</t>
  </si>
  <si>
    <t>原作の対応するカット、リメイクにおけるアートの意図を説明した資料</t>
  </si>
  <si>
    <t>「リメイクにおける現代的な表現」について、通常シーンと高負荷シーンの不具合を記録し、プレイや映像の説得力に影響する問題を優先して修正する。</t>
  </si>
  <si>
    <t>C</t>
  </si>
  <si>
    <t>マテリアルとテクスチャ</t>
  </si>
  <si>
    <t>B1</t>
  </si>
  <si>
    <t>スケールとシルエット</t>
  </si>
  <si>
    <t>ドア、段差、構造物、人物の大きさの比率に説得力がある</t>
  </si>
  <si>
    <t>通常の視距離で、曲面、ベベル、主要なシルエットが適切に表現されている</t>
  </si>
  <si>
    <t>近景・中景・遠景のいずれもシルエットが精緻で、構図に寄与している</t>
  </si>
  <si>
    <t>ゲームカメラによる近景・中景・遠景、ジオメトリ／LODの説明</t>
  </si>
  <si>
    <t>「スケールとシルエット」について、通常シーンと高負荷シーンの不具合を記録し、プレイや映像の説得力に影響する問題を優先して修正する。</t>
  </si>
  <si>
    <t>B2</t>
  </si>
  <si>
    <t>D</t>
  </si>
  <si>
    <t>ライティングと間接光</t>
  </si>
  <si>
    <t>構造と接合部</t>
  </si>
  <si>
    <t>壁と床の境界、設備の支持部、建築物の接合部に構造上の不自然さがない</t>
  </si>
  <si>
    <t>遮蔽物の裏側や脇道にも、組み合わせたパーツの明らかな綻びがない</t>
  </si>
  <si>
    <t>構造の階層、荷重のかかり方、機能面のディテールに高い説得力がある</t>
  </si>
  <si>
    <t>通常ルートと極端なカメラ位置からの映像、問題箇所の座標</t>
  </si>
  <si>
    <t>「構造と接合部」について、通常シーンと高負荷シーンの不具合を記録し、プレイや映像の説得力に影響する問題を優先して修正する。</t>
  </si>
  <si>
    <t>B3</t>
  </si>
  <si>
    <t>ディテール密度と反復感の抑制</t>
  </si>
  <si>
    <t>通常ルートで、明らかにスカスカな箇所や単調な繰り返し配置が目立たない</t>
  </si>
  <si>
    <t>E</t>
  </si>
  <si>
    <t>シャドウと接触表現</t>
  </si>
  <si>
    <t>大・中・小のディテールに階層があり、テクスチャやモジュールの反復感が効果的に抑えられている</t>
  </si>
  <si>
    <t>物語や戦闘のテンポに応じて密度が変化し、場面ごとの違いが一貫して保たれている</t>
  </si>
  <si>
    <t>チャプターごとのサンプル、繰り返し使用するモジュールの配置、画面内の占有率</t>
  </si>
  <si>
    <t>「ディテール密度と反復感の抑制」について、通常シーンと高負荷シーンの不具合を記録し、プレイや映像の説得力に影響する問題を優先して修正する。</t>
  </si>
  <si>
    <t>B4</t>
  </si>
  <si>
    <t>シーンへのなじみと環境ストーリーテリング</t>
  </si>
  <si>
    <t>植生、破片、損傷、汚れが環境に合っている</t>
  </si>
  <si>
    <t>地面との接続が自然で、使用痕や破壊痕の付き方に合理性がある</t>
  </si>
  <si>
    <t>探索で発見できるディテールが豊富でありながら、視覚的なノイズになっていない</t>
  </si>
  <si>
    <t>地面とのなじませ方、デカール、摩耗、環境ストーリーテリングの作例</t>
  </si>
  <si>
    <t>「シーンへのなじみと環境ストーリーテリング」について、通常シーンと高負荷シーンの不具合を記録し、プレイや映像の説得力に影響する問題を優先して修正する。</t>
  </si>
  <si>
    <t>F</t>
  </si>
  <si>
    <t>反射と環境ライティングの入力データ</t>
  </si>
  <si>
    <t>B5</t>
  </si>
  <si>
    <t>描画距離とストリーミングの完全性</t>
  </si>
  <si>
    <t>通常の移動ルートで、目立つ欠落やオブジェクトの突然の出現がない</t>
  </si>
  <si>
    <t>高速移動中の振り返りやシーン切り替えでも、ジオメトリのディテールが連続している</t>
  </si>
  <si>
    <t>高負荷となる移動や遠距離表示でも、目を引くような切り替わりがない</t>
  </si>
  <si>
    <t>Nanite／LOD／HLODとカリングの設定；コールド／ウォーム状態での走行録画</t>
  </si>
  <si>
    <t>「描画距離とストリーミングの完全性」について、通常シーンと高負荷シーンの不具合を記録し、プレイや映像の説得力に影響する問題を優先して修正する。</t>
  </si>
  <si>
    <t>G</t>
  </si>
  <si>
    <t>大気表現とフォグ</t>
  </si>
  <si>
    <t>C1</t>
  </si>
  <si>
    <t>PBRの反応と素材の描き分け</t>
  </si>
  <si>
    <t>金属、塗装、プラスチック、石材の光への反応を区別できる</t>
  </si>
  <si>
    <t>異なるライティングでも質感に説得力があり、全体がプラスチックのように見えない</t>
  </si>
  <si>
    <t>複雑な複合マテリアルでも、光のエネルギーと質感の層が繊細かつ安定して表現される</t>
  </si>
  <si>
    <t>BaseColor／Roughness／Metallic表示；マテリアルサンプル</t>
  </si>
  <si>
    <t>「PBRの反応と素材の描き分け」について、通常シーンと高負荷シーンの不具合を記録し、プレイや映像の説得力に影響する問題を優先して修正する。</t>
  </si>
  <si>
    <t>C2</t>
  </si>
  <si>
    <t>H</t>
  </si>
  <si>
    <t>キャラクターとアニメーション表現</t>
  </si>
  <si>
    <t>テクスチャの実効的な鮮明さ</t>
  </si>
  <si>
    <t>通常のプレイ距離で主要な対象がぼやけず、テクスチャ密度に不自然な差がない</t>
  </si>
  <si>
    <t>近景や浅い角度からの観察でもディテールが十分で、過度なシャープネスがない</t>
  </si>
  <si>
    <t>主な観察距離でディテールが豊富にあり、移動中も継続して識別できる</t>
  </si>
  <si>
    <t>ソース／インポート／常駐ミップ；テクセル密度；異方性フィルタリング設定</t>
  </si>
  <si>
    <t>「テクスチャの実効的な鮮明さ」について、通常シーンと高負荷シーンの不具合を記録し、プレイや映像の説得力に影響する問題を優先して修正する。</t>
  </si>
  <si>
    <t>C3</t>
  </si>
  <si>
    <t>ラフネスと法線の品質</t>
  </si>
  <si>
    <t>I</t>
  </si>
  <si>
    <t>エフェクトと戦闘フィードバック</t>
  </si>
  <si>
    <t>ハイライトのノイズ、法線の継ぎ目、誤った反転が広く発生していない</t>
  </si>
  <si>
    <t>摩耗、コーティング、凹凸のスケールが適切である</t>
  </si>
  <si>
    <t>微細な表面変化が、さまざまなライティングや動きの中でも成立している</t>
  </si>
  <si>
    <t>ラフネス／法線表示；光源の回転および移動時の録画</t>
  </si>
  <si>
    <t>「ラフネスと法線の品質」について、通常シーンと高負荷シーンの不具合を記録し、プレイや映像の説得力に影響する問題を優先して修正する。</t>
  </si>
  <si>
    <t>C4</t>
  </si>
  <si>
    <t>継ぎ目とタイリングの目立ちやすさ</t>
  </si>
  <si>
    <t>J</t>
  </si>
  <si>
    <t>動きのある場面の画質と再構成</t>
  </si>
  <si>
    <t>主な視点で、目立つUVの継ぎ目やデカールの浮きがない</t>
  </si>
  <si>
    <t>大きな面やモジュールの継ぎ目が自然に馴染んでいる</t>
  </si>
  <si>
    <t>近景や複雑な曲面でも、制作上の処理が見て取れる箇所が少ない</t>
  </si>
  <si>
    <t>近景、斜めからの視点、モジュール境界；マテリアルの複雑度</t>
  </si>
  <si>
    <t>「継ぎ目とタイリングの目立ちやすさ」について、通常シーンと高負荷シーンの不具合を記録し、プレイや映像の説得力に影響する問題を優先して修正する。</t>
  </si>
  <si>
    <t>C5</t>
  </si>
  <si>
    <t>マテリアル状態の一貫性</t>
  </si>
  <si>
    <t>乾湿、錆、埃の堆積、破損の表現に整合性がある</t>
  </si>
  <si>
    <t>状態が天候、動作、環境との接触に対応している</t>
  </si>
  <si>
    <t>変化が連続的で説得力があり、遠景・中景・近景のすべてに配慮されている</t>
  </si>
  <si>
    <t>K</t>
  </si>
  <si>
    <t>状態切り替えの録画；マテリアルインスタンスとプラットフォーム別の圧縮設定</t>
  </si>
  <si>
    <t>ポストプロセスと表示</t>
  </si>
  <si>
    <t>「マテリアル状態の一貫性」について、通常シーンと高負荷シーンの不具合を記録し、プレイや映像の説得力に影響する問題を優先して修正する。</t>
  </si>
  <si>
    <t>D1</t>
  </si>
  <si>
    <t>キーライトと光源の説得力</t>
  </si>
  <si>
    <t>主な光源の方向、色、照射範囲が適切である</t>
  </si>
  <si>
    <t>空間の奥行きが明確で、キャラクターの立体感が常に説得力をもって表現されている</t>
  </si>
  <si>
    <t>複雑なシーンでも、精密で表現力のあるライティング構成を維持している</t>
  </si>
  <si>
    <t>Lit／Lighting Only表示；光源一覧と設計意図</t>
  </si>
  <si>
    <t>「キーライトと光源の説得力」について、通常シーンと高負荷シーンの不具合を記録し、プレイや映像の説得力に影響する問題を優先して修正する。</t>
  </si>
  <si>
    <t>L</t>
  </si>
  <si>
    <t>ゲーム全編の一貫性</t>
  </si>
  <si>
    <t>D2</t>
  </si>
  <si>
    <t>間接光と空間の遮蔽</t>
  </si>
  <si>
    <t>屋内外の明るさの関係に説得力があり、接地感や立体感を失う平坦なライティングが広く見られない</t>
  </si>
  <si>
    <t>隅、開口部、遮蔽部分の明暗階調が保たれ、目立つ光漏れがない</t>
  </si>
  <si>
    <t>複雑な空間や動く物体にも、安定した自然なバウンスライトがある</t>
  </si>
  <si>
    <t>GI方式；Lumenまたはベイクの診断；オン／オフ比較</t>
  </si>
  <si>
    <t>「間接光と空間の遮蔽」について、通常シーンと高負荷シーンの不具合を記録し、プレイや映像の説得力に影響する問題を優先して修正する。</t>
  </si>
  <si>
    <t>D3</t>
  </si>
  <si>
    <t>合計</t>
  </si>
  <si>
    <t>ライティングの一貫性</t>
  </si>
  <si>
    <t>キャラクター、シーン、空の光の方向と色温度に矛盾がない</t>
  </si>
  <si>
    <t>動くキャラクターが異なるエリアに入る際、ライティングが自然につながる</t>
  </si>
  <si>
    <t>複雑な動的ライティングでも、キャラクターと環境が常に一体として馴染んでいる</t>
  </si>
  <si>
    <t>キャラクターが屋内外や影の領域を移動する録画</t>
  </si>
  <si>
    <t>「ライティングの一貫性」について、通常シーンと高負荷シーンの不具合を記録し、プレイや映像の説得力に影響する問題を優先して修正する。</t>
  </si>
  <si>
    <t>D4</t>
  </si>
  <si>
    <t>動的な光への反応</t>
  </si>
  <si>
    <t>攻撃時の閃光やライティングの変化によって、目立つ不具合が生じない</t>
  </si>
  <si>
    <t>プラットフォーム</t>
  </si>
  <si>
    <t>標準PS5</t>
  </si>
  <si>
    <t>重大な不具合の審査</t>
  </si>
  <si>
    <t>ドアの開閉、破壊、動的光源に伴う更新が適時に行われ、目立つ遅れがない</t>
  </si>
  <si>
    <t>極端な動作や複数光源の下でも、安定性と説得力を維持している</t>
  </si>
  <si>
    <t>製品の受入判定</t>
  </si>
  <si>
    <t>動的光源／破壊の録画；更新遅延；GPU処理時間の内訳</t>
  </si>
  <si>
    <t>「動的な光への反応」について、通常シーンと高負荷シーンの不具合を記録し、プレイや映像の説得力に影響する問題を優先して修正する。</t>
  </si>
  <si>
    <t>D5</t>
  </si>
  <si>
    <t>ゲーム全編のライティング品質</t>
  </si>
  <si>
    <t>通常の移動ルートや副次的な空間にも、明らかに未完成のライティングがない</t>
  </si>
  <si>
    <t>ビジュアルの最低品質基準</t>
  </si>
  <si>
    <t>複数の章にわたり、安定した完成度を維持している</t>
  </si>
  <si>
    <t>昼夜、天候、複雑なサブルートでも、一貫した高水準を維持している</t>
  </si>
  <si>
    <t>各章のコンタクトシート；ライティング品質設定と例外一覧</t>
  </si>
  <si>
    <t>「ゲーム全編のライティング品質」について、通常シーンと高負荷シーンの不具合を記録し、プレイや映像の説得力に影響する問題を優先して修正する。</t>
  </si>
  <si>
    <t>E1</t>
  </si>
  <si>
    <t>キャラクターと物体の接地感</t>
  </si>
  <si>
    <t>足元や大型オブジェクトに、目立つ浮きがない</t>
  </si>
  <si>
    <t>ジャンプの着地、壁への接触、斜面での接地が自然である</t>
  </si>
  <si>
    <t>複雑な動作でも、接触関係が正確かつ安定している</t>
  </si>
  <si>
    <t>足元／壁の隅／斜面の録画；コンタクトシャドウの方式</t>
  </si>
  <si>
    <t>トップ水準の認定</t>
  </si>
  <si>
    <t>「キャラクターと物体の接地感」について、通常シーンと高負荷シーンの不具合を記録し、プレイや映像の説得力に影響する問題を優先して修正する。</t>
  </si>
  <si>
    <t>E2</t>
  </si>
  <si>
    <t>シャドウの形状と柔らかさ</t>
  </si>
  <si>
    <t>影の方向が光源と一致し、目立つ途切れがない</t>
  </si>
  <si>
    <t>影の硬さと柔らかさが、光源や距離に応じて適切に変化する</t>
  </si>
  <si>
    <t>主なシーンで、影のディテール、柔らかさ、空間的な関係に説得力がある</t>
  </si>
  <si>
    <t>30／40／60 FPSはモード別に評価。画質と性能は別評価とし、受入には画質の最低基準と選択モードの性能要件の両方を満たすこと。</t>
  </si>
  <si>
    <t>主光源とローカルライトのシャドウ例；シャドウ方式</t>
  </si>
  <si>
    <t>黄色は入力欄。総合スコアの空欄は資料不足を示す。各カテゴリ5項目を等配点とし、全項目の満点時の加重点は合計100点。</t>
  </si>
  <si>
    <t>「シャドウの形状と柔らかさ」について、通常シーンと高負荷シーンの不具合を記録し、プレイや映像の説得力に影響する問題を優先して修正する。</t>
  </si>
  <si>
    <t>高品質の最低基準：D／J≧4、B／C／E／H≧3.5、I1の高負荷シーンのスコア≧4、全項目の統合スコア≧3、かつビジュアル総合スコア≧80。</t>
  </si>
  <si>
    <t>ランクは社内推奨基準。同一ビルドの実機比較で基準を調整し、30／40／60 FPSと操作応答の条件は関係者で合意のうえ確定する。</t>
  </si>
  <si>
    <t>E3</t>
  </si>
  <si>
    <t>改善計画による加点</t>
  </si>
  <si>
    <t>細部の遮蔽</t>
  </si>
  <si>
    <t>機械部品の継ぎ目や重なり部分に、適切な奥行き感がある</t>
  </si>
  <si>
    <t>目標達成時の試算スコア</t>
  </si>
  <si>
    <t>自然で暗くなりすぎず、汚れたような縁や広いハローが生じない</t>
  </si>
  <si>
    <t>動く継ぎ目や複雑な接触部分でも、説得力のあるディテールを保っている</t>
  </si>
  <si>
    <t>実際に使用する遮蔽方式の説明；その方式に対応したA/B比較</t>
  </si>
  <si>
    <t>「細部の遮蔽」について、通常シーンと高負荷シーンの不具合を記録し、プレイや映像の説得力に影響する問題を優先して修正する。</t>
  </si>
  <si>
    <t>「採点入力」O列の目標値で改善による加点を試算。該当モードで再測定して達成を確認し、試算値そのものは受入の根拠にしない。</t>
  </si>
  <si>
    <t>E4</t>
  </si>
  <si>
    <t>シャドウの適用範囲と光漏れ</t>
  </si>
  <si>
    <t>主要キャラクターや重要なオブジェクトの影が、不自然に欠落しない</t>
  </si>
  <si>
    <t>遠近および屋内外のつながりが自然で、目立つ光漏れがない</t>
  </si>
  <si>
    <t>ユーザーからの報告：60FPSを目指して比較的低い設定を採用している。実際のPS5設定は要追加</t>
  </si>
  <si>
    <t>広範囲で複雑なシーンでも、シャドウの表示範囲が途切れずにつながる</t>
  </si>
  <si>
    <t>選択モードのPS5デバイス設定、品質レベル、プロジェクト設定と実行時CVarのオーバーライド、スクリーンパーセンテージ、GPU／CPUの項目別処理時間を提出する。</t>
  </si>
  <si>
    <t>シャドウ距離／解像度；薄い壁と遠景の録画</t>
  </si>
  <si>
    <t>「シャドウの適用範囲と光漏れ」について、通常シーンと高負荷シーンの不具合を記録し、プレイや映像の説得力に影響する問題を優先して修正する。</t>
  </si>
  <si>
    <t>E5</t>
  </si>
  <si>
    <t>要追加</t>
  </si>
  <si>
    <t>動的シャドウの安定性</t>
  </si>
  <si>
    <t>通常の移動で、激しい跳ねやちらつきがない</t>
  </si>
  <si>
    <t>カメラ回転、戦闘、光源移動の際にも安定している</t>
  </si>
  <si>
    <t>最大負荷時でも、キャッシュ、カリング、フィルタリングによる目立つ不具合がない</t>
  </si>
  <si>
    <t>VSM／従来型シャドウの診断；動的なキャッシュ無効化と処理時間</t>
  </si>
  <si>
    <t>「動的シャドウの安定性」について、通常シーンと高負荷シーンの不具合を記録し、プレイや映像の説得力に影響する問題を優先して修正する。</t>
  </si>
  <si>
    <t>F1</t>
  </si>
  <si>
    <t>主要マテリアルの反射</t>
  </si>
  <si>
    <t>金属、ガラス、濡れた地面が、周囲の環境を適切に反射している</t>
  </si>
  <si>
    <t>主な反射の方向、明暗、遮蔽に説得力がある</t>
  </si>
  <si>
    <t>複雑な表面や動く対象の反射でも、ディテールが豊富で安定している</t>
  </si>
  <si>
    <t>代表的なマテリアルのLit表示録画；反射方式と品質設定</t>
  </si>
  <si>
    <t>「主要マテリアルの反射」について、通常シーンと高負荷シーンの不具合を記録し、プレイや映像の説得力に影響する問題を優先して修正する。</t>
  </si>
  <si>
    <t>F2</t>
  </si>
  <si>
    <t>画面外・遮蔽時の挙動</t>
  </si>
  <si>
    <t>反射の欠落が頻発して通常の映像を損なうことがない</t>
  </si>
  <si>
    <t>カメラの回転時や対象が画面外に出た後も、反射の遷移が自然である</t>
  </si>
  <si>
    <t>複雑な遮蔽やカメラ移動の下でも、反射の説得力を維持している</t>
  </si>
  <si>
    <t>SSR／Lumen／反射キャプチャの併用方式；対象が画面外に出る際の録画</t>
  </si>
  <si>
    <t>「画面外・遮蔽時の挙動」について、通常シーンと高負荷シーンの不具合を記録し、プレイや映像の説得力に影響する問題を優先して修正する。</t>
  </si>
  <si>
    <t>F3</t>
  </si>
  <si>
    <t>ユーザーからの報告：先方はAOが有効と説明しているが、現在のAOデバッグビューは全面が白い。具体的な実装経路は未確認</t>
  </si>
  <si>
    <t>エンジンのバージョン、レンダリングパス、GIと遮蔽の方式、および各方式に対応する診断結果と、足元／壁の隅を同一カメラ位置で撮影したオン／オフ比較を提出する。</t>
  </si>
  <si>
    <t>粗い表面の反射とノイズ</t>
  </si>
  <si>
    <t>広範囲に目障りなノイズや、油絵のような斑状のちらつきがない</t>
  </si>
  <si>
    <t>ラフネスの段階ごとの差を識別でき、動きの中でも安定している</t>
  </si>
  <si>
    <t>低照度や複雑な金属の多い環境でも、ノイズが少なく繊細である</t>
  </si>
  <si>
    <t>ラフネスの段階別テスト；デノイズ／トレースのパラメータ</t>
  </si>
  <si>
    <t>「粗い表面の反射とノイズ」について、通常シーンと高負荷シーンの不具合を記録し、プレイや映像の説得力に影響する問題を優先して修正する。</t>
  </si>
  <si>
    <t>F4</t>
  </si>
  <si>
    <t>空とHDRIの整合性</t>
  </si>
  <si>
    <t>空、光の方向、色温度、反射に目立つ矛盾がない</t>
  </si>
  <si>
    <t>ソース画像とシーンのライティングが自然に馴染み、目に見える継ぎ目がない</t>
  </si>
  <si>
    <t>時間帯や天候の変化と、反射に使う環境が一貫している</t>
  </si>
  <si>
    <t>HDRIの用途／形式／ダイナミックレンジ；SkyLightのソースタイプ</t>
  </si>
  <si>
    <t>「空とHDRIの整合性」について、通常シーンと高負荷シーンの不具合を記録し、プレイや映像の説得力に影響する問題を優先して修正する。</t>
  </si>
  <si>
    <t>F5</t>
  </si>
  <si>
    <t>解像度とキャプチャの有効性</t>
  </si>
  <si>
    <t>通常の視点で、空や反射に顕著なぼやけがない</t>
  </si>
  <si>
    <t>近景の鏡面や画面を大きく占める背景でも、意図した表現を達成している</t>
  </si>
  <si>
    <t>主な観察距離およびゲーム上許容される限界の観察距離で、背景と重要な反射が鮮明で、目立つ継ぎ目や歪みがなく、動きの中でも安定している</t>
  </si>
  <si>
    <t>ソース／実行時のサイズ；キューブマップ解像度；条件を統制した4K／8KのA/B比較</t>
  </si>
  <si>
    <t>「解像度とキャプチャの有効性」について、通常シーンと高負荷シーンの不具合を記録し、プレイや映像の説得力に影響する問題を優先して修正する。</t>
  </si>
  <si>
    <t>G1</t>
  </si>
  <si>
    <t>近景・中景・遠景の奥行き</t>
  </si>
  <si>
    <t>距離による奥行きを読み取ることができ、天候と空間の意図に合っている</t>
  </si>
  <si>
    <t>前景・中景・背景が自然に分離し、遠景が唐突に見えない</t>
  </si>
  <si>
    <t>複雑な奥行きや構図でも、繊細で一貫した空気感を維持している</t>
  </si>
  <si>
    <t>同一カメラ位置からの遠距離表示；天候とハイトフォグのパラメータ</t>
  </si>
  <si>
    <t>「近景・中景・遠景の奥行き」について、通常シーンと高負荷シーンの不具合を記録し、プレイや映像の説得力に影響する問題を優先して修正する。</t>
  </si>
  <si>
    <t>G2</t>
  </si>
  <si>
    <t>局所的な分布と高さの関係</t>
  </si>
  <si>
    <t>霧を必要とするエリアで、密度と高さが適切である</t>
  </si>
  <si>
    <t>工場、谷、通路などに、適切な局所的変化がある</t>
  </si>
  <si>
    <t>局所的な変化が繊細かつ自然で、シーンの環境ストーリーテリングに合っている</t>
  </si>
  <si>
    <t>局所的な霧の内容；密度／消散係数；オン／オフ比較</t>
  </si>
  <si>
    <t>「局所的な分布と高さの関係」について、通常シーンと高負荷シーンの不具合を記録し、プレイや映像の説得力に影響する問題を優先して修正する。</t>
  </si>
  <si>
    <t>G3</t>
  </si>
  <si>
    <t>光の散乱と遮蔽</t>
  </si>
  <si>
    <t>光芒を必要とする場面で、位置と遮蔽に説得力がある</t>
  </si>
  <si>
    <t>光と霧の空間的な相互作用が豊かでありながら、過剰になっていない</t>
  </si>
  <si>
    <t>複数光源のある複雑な空間でも、散乱による明暗の階調が安定して繊細に表現される</t>
  </si>
  <si>
    <t>逆光のショット；ライトのボリューメトリックへの寄与とシャドウ</t>
  </si>
  <si>
    <t>「光の散乱と遮蔽」について、通常シーンと高負荷シーンの不具合を記録し、プレイや映像の説得力に影響する問題を優先して修正する。</t>
  </si>
  <si>
    <t>G4</t>
  </si>
  <si>
    <t>動きのある場面のフォグ品質</t>
  </si>
  <si>
    <t>使用方法と採点基準</t>
  </si>
  <si>
    <t>通常シーンの重み</t>
  </si>
  <si>
    <t>目立つバンディング、格子模様、断面の露出、カメラ追従による不自然な挙動がない</t>
  </si>
  <si>
    <t>主要なレベル、ライティング、マテリアルを網羅するようにシーンを選ぶ。</t>
  </si>
  <si>
    <t>高負荷シーンの重み</t>
  </si>
  <si>
    <t>カメラ回転や閃光の際に、残像やノイズが少ない</t>
  </si>
  <si>
    <t>カメラの高速回転、最大負荷の戦闘、破壊、パーティクル、シーン切り替え。</t>
  </si>
  <si>
    <t>高負荷の動的ライティングや高速移動でも品質を維持している</t>
  </si>
  <si>
    <t>スコア</t>
  </si>
  <si>
    <t>共通の定義</t>
  </si>
  <si>
    <t>判定要件</t>
  </si>
  <si>
    <t>グリッド／距離；刀を振った際の閃光と方向転換の録画；GPU処理時間</t>
  </si>
  <si>
    <t>重大な破綻</t>
  </si>
  <si>
    <t>対象項目が実際に機能せず、製品体験を大きく損なっている。データ不足を0で表してはならない。</t>
  </si>
  <si>
    <t>明らかに水準を下回る</t>
  </si>
  <si>
    <t>通常プレイで問題に気づき、説得力、視認性、完成度を損なっている。</t>
  </si>
  <si>
    <t>「動きのある場面のフォグ品質」について、通常シーンと高負荷シーンの不具合を記録し、プレイや映像の説得力に影響する問題を優先して修正する。</t>
  </si>
  <si>
    <t>基本合格水準に未達</t>
  </si>
  <si>
    <t>機能は画面に表れているが、よく見るショットで不具合が目立ち、重点的な修正が必要。</t>
  </si>
  <si>
    <t>基本合格</t>
  </si>
  <si>
    <t>通常シーンのプレイで、基本的な説得力がある。一般的な不具合は管理可能で、当該項目の基本基準を満たしている。</t>
  </si>
  <si>
    <t>高品質</t>
  </si>
  <si>
    <t>大半のプレイシーンで、安定して高品質を達成している。不具合は軽微で、表現に一貫性がある。</t>
  </si>
  <si>
    <t>最高水準の表現</t>
  </si>
  <si>
    <t>G5</t>
  </si>
  <si>
    <t>高い完成度と動的な安定性を兼ね備え、高負荷シーンでの検証にも耐えられる。</t>
  </si>
  <si>
    <t>スコアの計算</t>
  </si>
  <si>
    <t>計算式</t>
  </si>
  <si>
    <t>データ不足時の扱い</t>
  </si>
  <si>
    <t>項目別の統合スコア</t>
  </si>
  <si>
    <t>雰囲気と視認性のバランス</t>
  </si>
  <si>
    <t>通常シーン × 70% + 高負荷シーン × 30%</t>
  </si>
  <si>
    <t>両方のスコアが有効な場合のみ計算する。採点は0～5の範囲で、小数も使用できる。</t>
  </si>
  <si>
    <t>項目別の加重点</t>
  </si>
  <si>
    <t>統合スコア ÷ 5 × 満点時の加重点</t>
  </si>
  <si>
    <t>60項目の満点時の加重点は合計100。各評価カテゴリの配点比率に応じて配分する。</t>
  </si>
  <si>
    <t>根拠資料の重み付きカバー率</t>
  </si>
  <si>
    <t>確認済み項目の重みの合計 ÷ 100</t>
  </si>
  <si>
    <t>両シーンが確認済みで、根拠資料とビルド／カメラ位置の情報がそろっていること。採点のカバー率も指標の重みで集計し、完備した項目数は別に示す。</t>
  </si>
  <si>
    <t>霧が主要な敵や攻撃の予兆を隠さない</t>
  </si>
  <si>
    <t>正式な総合スコアとランク</t>
  </si>
  <si>
    <t>60項目の採点と根拠資料がそろってから判定する</t>
  </si>
  <si>
    <t>不足がある場合は空欄のままとする。測定済みの少数項目から、製品全体のランクを推定してはならない。</t>
  </si>
  <si>
    <t>ユーザーからの報告：HDRIのソース画像は4K。実行時の解像度、用途、サンプリングは未確認</t>
  </si>
  <si>
    <t>雰囲気を強めながら、対象を明確に識別できる状態を保っている</t>
  </si>
  <si>
    <t>下限スコア</t>
  </si>
  <si>
    <t>ランク</t>
  </si>
  <si>
    <t>製品レビューでの意味</t>
  </si>
  <si>
    <t>D 基本ライン未達</t>
  </si>
  <si>
    <t>天候、戦闘、感情の変化を適切に制御でき、表現力がある</t>
  </si>
  <si>
    <t>ソース画像の用途は何か。ソース形式／ダイナミックレンジ、インポート設定と常駐mip、SkyLight／リフレクションキャプチャの解像度、および同一カメラ位置での4K／8K比較を提出する。</t>
  </si>
  <si>
    <t>戦闘の視認性を確認する録画；霧のオン／オフとシルエットの比較</t>
  </si>
  <si>
    <t>「雰囲気と視認性のバランス」について、通常シーンと高負荷シーンの不具合を記録し、プレイや映像の説得力に影響する問題を優先して修正する。</t>
  </si>
  <si>
    <t>H1</t>
  </si>
  <si>
    <t>主人公と主要な敵の外観</t>
  </si>
  <si>
    <t>通常のカメラで、造形、マテリアル、ディテールが仕上がっている</t>
  </si>
  <si>
    <t>クローズアップと戦闘距離のどちらでも完成度が高い</t>
  </si>
  <si>
    <t>象徴的なキャラクターが、さまざまな角度とライティングで、参考作品の最高水準に近い品質を示す</t>
  </si>
  <si>
    <t>実機の近景・中景；キャラクターのマテリアル／LOD／皮膚または装甲</t>
  </si>
  <si>
    <t>「主人公と主要な敵の外観」について、通常シーンと高負荷シーンの不具合を記録し、プレイや映像の説得力に影響する問題を優先して修正する。</t>
  </si>
  <si>
    <t>H2</t>
  </si>
  <si>
    <t>キャラクターのシーンへのなじみ</t>
  </si>
  <si>
    <t>キャラクターに目立つ浮き、光や色の不整合、反射の不具合がない</t>
  </si>
  <si>
    <t>異なるエリアに入っても、説得力のある立体感と質感を維持している</t>
  </si>
  <si>
    <t>複雑な環境でも、細部まで自然に馴染んでいる</t>
  </si>
  <si>
    <t>異なるライティングのエリアを通過する録画</t>
  </si>
  <si>
    <t>「キャラクターのシーンへのなじみ」について、通常シーンと高負荷シーンの不具合を記録し、プレイや映像の説得力に影響する問題を優先して修正する。</t>
  </si>
  <si>
    <t>H3</t>
  </si>
  <si>
    <t>変形とアニメーションのつながり</t>
  </si>
  <si>
    <t>関節の大きな潰れ、足滑り、不自然な切り替わりがない</t>
  </si>
  <si>
    <t>高速動作、被弾、振り向きでも変形が安定している</t>
  </si>
  <si>
    <t>連続したインタラクションや極端なポーズでも、ボリュームと接触が精密に表現される</t>
  </si>
  <si>
    <t>アニメーション集；スケルトン／クロス／付属パーツの設定</t>
  </si>
  <si>
    <t>「変形とアニメーションのつながり」について、通常シーンと高負荷シーンの不具合を記録し、プレイや映像の説得力に影響する問題を優先して修正する。</t>
  </si>
  <si>
    <t>H4</t>
  </si>
  <si>
    <t>0～59.9：ビジュアルの基礎に明らかな不足がある。</t>
  </si>
  <si>
    <t>C 基本部分が完成</t>
  </si>
  <si>
    <t>武器と切断・破壊表現</t>
  </si>
  <si>
    <t>60～69.9：基本部分は完成しているが、製品としての競争力は限定的。</t>
  </si>
  <si>
    <t>B 目標との明確な差が残る</t>
  </si>
  <si>
    <t>70～79.9：高品質の目標に対して、依然として大きな弱点がある。</t>
  </si>
  <si>
    <t>A 高品質の目標水準</t>
  </si>
  <si>
    <t>刃、ヒット位置、切断結果に整合性がある</t>
  </si>
  <si>
    <t>80～89.9：主要な評価カテゴリ、選択モードのパフォーマンス、不具合審査も合格する必要がある。</t>
  </si>
  <si>
    <t>S トップ水準のスコア帯</t>
  </si>
  <si>
    <t>高速コンボや複数キャラクターの接触でも、状況を把握でき、見た目が自然である</t>
  </si>
  <si>
    <t>90～100：すべての評価カテゴリが4以上で、重大な不具合がない場合に限り、トップ水準と認定することを推奨する。</t>
  </si>
  <si>
    <t>切断面、残骸、モーションエフェクト、マテリアルの応答が高度に統一されている</t>
  </si>
  <si>
    <t>固定する評価条件</t>
  </si>
  <si>
    <t>切断／破断の録画；破片数の上限と消去ルール</t>
  </si>
  <si>
    <t>プラットフォーム／モード／ビルド</t>
  </si>
  <si>
    <t>ベースモデルのPS5を使用する。30／40／60 FPSの各モードに、それぞれ別の採点表を使用する。60FPSを優先目標とするが、60FPSでないことだけを理由に不合格にはしない。</t>
  </si>
  <si>
    <t>根拠資料の内容</t>
  </si>
  <si>
    <t>「武器と切断・破壊表現」について、通常シーンと高負荷シーンの不具合を記録し、プレイや映像の説得力に影響する問題を優先して修正する。</t>
  </si>
  <si>
    <t>最終的な実機表示を先に確認し、その後に技術的説明を確認する</t>
  </si>
  <si>
    <t>可逆圧縮または無圧縮のスクリーンショット、通常プレイの録画、同一カメラ位置でのA/B比較、GPUとCPUのフレーム時間、不具合の発生頻度を残す。</t>
  </si>
  <si>
    <t>解像度とサンプリング</t>
  </si>
  <si>
    <t>テクスチャの公称サイズだけで判断しない</t>
  </si>
  <si>
    <t>HDRIは用途、ダイナミックレンジ、有効なmip、サンプリング、実際の反射表現を確認する。4Kか8Kかという点だけでは加点も減点もしない。</t>
  </si>
  <si>
    <t>AOとフォグ</t>
  </si>
  <si>
    <t>有効化スイッチだけで判断しない</t>
  </si>
  <si>
    <t>H5</t>
  </si>
  <si>
    <t>レンダリングパスと最終画面の空間的な奥行きを確認する。白いAOビューだけでは、画面全体に遮蔽がないとは断定できない。晴天でフォグが薄いことを理由に自動的に減点しない。</t>
  </si>
  <si>
    <t>ベンチマーク比較の方法</t>
  </si>
  <si>
    <t>同一プラットフォーム、同一モード、同種のシーン</t>
  </si>
  <si>
    <t>カメラ位置、環境の複雑さ、動きの状態を合わせる。K5は提供を約束したSDR／HDRの対応範囲に基づいて評価し、HDR非対応という理由だけで低評価にしない。</t>
  </si>
  <si>
    <t>適用対象外の項目</t>
  </si>
  <si>
    <t>動きのある場面のキャラクターディテールの安定性</t>
  </si>
  <si>
    <t>評価前に対象範囲と重みを固定する</t>
  </si>
  <si>
    <t>本表では、原則として60項目すべてを適用する。実際に適用対象外となる項目がある場合は、ディレクターの署名を得て基準と重みを調整してから採点を始める。0を入力したり、弱点に当たる項目をその場で削除したりしてはならない。</t>
  </si>
  <si>
    <t>基準の位置づけ</t>
  </si>
  <si>
    <t>プロジェクト評価の推奨基準 v1.0</t>
  </si>
  <si>
    <t>ユーザーからの報告：ボリュメトリックフォグは有効だが、確認したショットでは変化が明確に見られない</t>
  </si>
  <si>
    <t>ランクと重みは、本プロジェクトの評価基準案である。初回の実機比較を通じて基準を調整し、一般的な業界認証と称してはならない。</t>
  </si>
  <si>
    <t>髪、布、装甲の縁に、著しいめり込みやちらつきがない</t>
  </si>
  <si>
    <t>高品質としての最低受入基準</t>
  </si>
  <si>
    <t>走行時、近景、カメラ回転時にもディテールが安定している</t>
  </si>
  <si>
    <t>同一カメラ位置でのオン／オフ比較と、カメラの高速回転／動的ライティングを収録した映像を提出する。密度、消散、グリッド／距離、ライトのボリュメトリック寄与、GPUコストを記録する。</t>
  </si>
  <si>
    <t>ビジュアルスコア ≥ 80</t>
  </si>
  <si>
    <t>D：ライティング、J：動きのある画面の品質が4以上。B：シーン、C：マテリアル、E：シャドウ、H：キャラクターが3.5以上。</t>
  </si>
  <si>
    <t>高負荷シーンと各項目の最低基準</t>
  </si>
  <si>
    <t>複雑な動きの中でも、小さなパーツに説得力があり、明瞭に見える</t>
  </si>
  <si>
    <t>I1の高負荷シーンスコア ≥ 4</t>
  </si>
  <si>
    <t>すべての項目の統合スコアを3以上とし、高得点で明らかな弱点が隠れないようにする。</t>
  </si>
  <si>
    <t>髪／布／装着物の近景および高負荷シーンの録画</t>
  </si>
  <si>
    <t>ビジュアルとパフォーマンスを分ける</t>
  </si>
  <si>
    <t>ビジュアルの最低基準を満たしたうえで、選択モードのパフォーマンスとアクションの応答性、重大な不具合の審査がすべて合格した場合にのみ、受入合格と表示する。</t>
  </si>
  <si>
    <t>「動きのある場面のキャラクターディテールの安定性」について、通常シーンと高負荷シーンの不具合を記録し、プレイや映像の説得力に影響する問題を優先して修正する。</t>
  </si>
  <si>
    <t>90点でのトップ水準認定</t>
  </si>
  <si>
    <t>スコア帯と認定を分ける</t>
  </si>
  <si>
    <t>90点は数値上の区分にすぎない。全12評価カテゴリが4以上で、重大な不具合がなく、選択モードのパフォーマンスが合格した場合にのみ、トップ水準と認定することを推奨する。</t>
  </si>
  <si>
    <t>低フレームレートモードの審査</t>
  </si>
  <si>
    <t>アクションの応答性は必ず実測する</t>
  </si>
  <si>
    <t>40 FPSでは、表示リフレッシュレートの条件も確認する。30 FPSでは、アクションの応答性と動きのある画面の鮮明さも確認し、静止画の品質だけで評価しない。</t>
  </si>
  <si>
    <t>I1</t>
  </si>
  <si>
    <t>攻撃予兆とターゲットの視認性</t>
  </si>
  <si>
    <t>敵、攻撃方向、危険エリアを識別できる</t>
  </si>
  <si>
    <t>複数キャラクターが戦う場面や強いエフェクトの中でも、重要な情報が明確である</t>
  </si>
  <si>
    <t>戦闘のクライマックスでも、注意を向ける先を的確に誘導している</t>
  </si>
  <si>
    <t>最大負荷となる戦闘の録画；設計で定めた予兆の提示時間</t>
  </si>
  <si>
    <t>「攻撃予兆とターゲットの視認性」について、通常シーンと高負荷シーンの不具合を記録し、プレイや映像の説得力に影響する問題を優先して修正する。</t>
  </si>
  <si>
    <t>I2</t>
  </si>
  <si>
    <t>ヒットのタイミングと重み</t>
  </si>
  <si>
    <t>ヒット、閃光、火花、動作のタイミングが合っている</t>
  </si>
  <si>
    <t>武器／マテリアル／強さによる違いが明確である</t>
  </si>
  <si>
    <t>フィードバックの層が豊かで、ゲームプレイのテンポと高度に統一されている</t>
  </si>
  <si>
    <t>フレーム単位のヒット時系列；異なる表面へのヒット例</t>
  </si>
  <si>
    <t>「ヒットのタイミングと重み」について、通常シーンと高負荷シーンの不具合を記録し、プレイや映像の説得力に影響する問題を優先して修正する。</t>
  </si>
  <si>
    <t>I3</t>
  </si>
  <si>
    <t>エフェクトの質感と立体感</t>
  </si>
  <si>
    <t>煙塵、火花、エネルギーのスケールと遮蔽が適切である</t>
  </si>
  <si>
    <t>板ポリゴンの露出、不自然に硬い交差線、半透明のソート不具合が少ない</t>
  </si>
  <si>
    <t>複雑なエフェクトでも、複数の視点から立体感と奥行きを感じられる</t>
  </si>
  <si>
    <t>Niagara／マテリアル設定；深度の境界と斜めからの視点の録画</t>
  </si>
  <si>
    <t>「エフェクトの質感と立体感」について、通常シーンと高負荷シーンの不具合を記録し、プレイや映像の説得力に影響する問題を優先して修正する。</t>
  </si>
  <si>
    <t>I4</t>
  </si>
  <si>
    <t>環境との相互作用と残留表現</t>
  </si>
  <si>
    <t>爆発、ヒット、破片と環境の接触が適切である</t>
  </si>
  <si>
    <t>ライティング、デカール、煙塵、残留表現の持続時間が調和している</t>
  </si>
  <si>
    <t>連鎖的なインタラクションや破壊の結果が、説得力を保ちながら適切に制御されている</t>
  </si>
  <si>
    <t>ライト／デカール／破片／残留表現の予算；連続戦闘</t>
  </si>
  <si>
    <t>「環境との相互作用と残留表現」について、通常シーンと高負荷シーンの不具合を記録し、プレイや映像の説得力に影響する問題を優先して修正する。</t>
  </si>
  <si>
    <t>I5</t>
  </si>
  <si>
    <t>高負荷時のエフェクト品質</t>
  </si>
  <si>
    <t>負荷が高いときも、重要なエフェクトが突然消えない</t>
  </si>
  <si>
    <t>品質を下げる際も攻撃情報を維持し、見た目が自然に遷移する</t>
  </si>
  <si>
    <t>大規模戦闘でも、表現力、情報の完全性、品質低下時の連続性を維持している</t>
  </si>
  <si>
    <t>同時発生数のピーク値；オーバードロー；Niagaraの品質段階・カリング方針</t>
  </si>
  <si>
    <t>「高負荷時のエフェクト品質」について通常シーンと高負荷シーンの不具合を記録し、プレイや画面の説得力に影響する問題を優先して修正する。</t>
  </si>
  <si>
    <t>J1</t>
  </si>
  <si>
    <t>高速移動時の鮮明さ</t>
  </si>
  <si>
    <t>走行中にカメラを回しても、主要被写体の輪郭を識別できる</t>
  </si>
  <si>
    <t>高速のロックオン、回避、攻撃中も重要なディテールが維持される</t>
  </si>
  <si>
    <t>細かい模様が多い背景でも、高速移動中の画面が鮮明かつ安定している</t>
  </si>
  <si>
    <t>選択モードのフレームレートで収録した実機映像；内部解像度／出力解像度</t>
  </si>
  <si>
    <t>「高速移動時の鮮明さ」について通常シーンと高負荷シーンの不具合を記録し、プレイや画面の説得力に影響する問題を優先して修正する。</t>
  </si>
  <si>
    <t>J2</t>
  </si>
  <si>
    <t>ゴーストと過去フレームの残像</t>
  </si>
  <si>
    <t>キャラクター、武器、パーティクルに著しい残像がない</t>
  </si>
  <si>
    <t>遮蔽の変化、閃光、新たに露出した領域に対して、画面が速やかに正常な状態へ戻る</t>
  </si>
  <si>
    <t>極端なコントラストや速度でも、時間方向の再構成によるアーティファクトがほとんど見られない</t>
  </si>
  <si>
    <t>TSR／TAA／その他の再構成方式のバージョン；速度バッファの診断</t>
  </si>
  <si>
    <t>「ゴーストと過去フレームの残像」について通常シーンと高負荷シーンの不具合を記録し、プレイや画面の説得力に影響する問題を優先して修正する。</t>
  </si>
  <si>
    <t>J3</t>
  </si>
  <si>
    <t>細部のちらつきの抑制</t>
  </si>
  <si>
    <t>ケーブル、格子、毛髪、ハイライトに著しいちらつきや輪郭の泳ぎがない</t>
  </si>
  <si>
    <t>通常の移動中に高周波ディテールが安定している</t>
  </si>
  <si>
    <t>複雑で細密な構造が、遠距離や戦闘中でも安定して表示される</t>
  </si>
  <si>
    <t>細い構造物やハイライトを含むシーン；AA／マテリアルのA/B比較</t>
  </si>
  <si>
    <t>「細部のちらつきの抑制」について通常シーンと高負荷シーンの不具合を記録し、プレイや画面の説得力に影響する問題を優先して修正する。</t>
  </si>
  <si>
    <t>J4</t>
  </si>
  <si>
    <t>動的解像度による画質低下</t>
  </si>
  <si>
    <t>通常発生し得る最低解像度でも、キャラクターや攻撃の予兆を識別できる</t>
  </si>
  <si>
    <t>解像度低下時に、塊状のぼけやシャープ処理による縁取りが持続しない</t>
  </si>
  <si>
    <t>高負荷の区間でも、通常時に近い見た目を維持できる</t>
  </si>
  <si>
    <t>動的解像度の最小値／中央値／分布；高負荷区間の映像</t>
  </si>
  <si>
    <t>「動的解像度による画質低下」について通常シーンと高負荷シーンの不具合を記録し、プレイや画面の説得力に影響する問題を優先して修正する。</t>
  </si>
  <si>
    <t>J5</t>
  </si>
  <si>
    <t>時間的な連続性と切り替え</t>
  </si>
  <si>
    <t>LOD、ライティング、エフェクトの切り替えによる急変が同時に集中して発生しない</t>
  </si>
  <si>
    <t>急な振り向き、テレポート、カメラ切り替え後も自然な状態へ戻る</t>
  </si>
  <si>
    <t>複数システムの切り替えと再構成に連続性があり、リセットがほとんど知覚されない</t>
  </si>
  <si>
    <t>複数システムの切り替えを同一タイムラインで記録した映像；不具合の発生率</t>
  </si>
  <si>
    <t>「時間的な連続性と切り替え」について通常シーンと高負荷シーンの不具合を記録し、プレイや画面の説得力に影響する問題を優先して修正する。</t>
  </si>
  <si>
    <t>K1</t>
  </si>
  <si>
    <t>露出と明暗の移行</t>
  </si>
  <si>
    <t>明るい場所と暗い場所を出入りしても、画面全体が極端に白くなったり黒くなったりしない</t>
  </si>
  <si>
    <t>露出の変化が自然で、重要な敵や経路を見失わない</t>
  </si>
  <si>
    <t>明暗が複雑に混在する場所でも、階調が安定し、意図どおりに制御されている</t>
  </si>
  <si>
    <t>露出範囲／変化速度；屋内外を連続して移動する映像</t>
  </si>
  <si>
    <t>「露出と明暗の移行」について通常シーンと高負荷シーンの不具合を記録し、プレイや画面の説得力に影響する問題を優先して修正する。</t>
  </si>
  <si>
    <t>K2</t>
  </si>
  <si>
    <t>トーンとハイライト</t>
  </si>
  <si>
    <t>意図しない色かぶりがなく、ハイライトと暗部に必要な情報が残っている</t>
  </si>
  <si>
    <t>金属のハイライト、肌色、塗装面の階調が自然である</t>
  </si>
  <si>
    <t>高コントラストのシーンでも色調が繊細で、スタイルが統一されている</t>
  </si>
  <si>
    <t>トーンマッパー／LUT；ハイライト／暗部の比較</t>
  </si>
  <si>
    <t>「トーンとハイライト」について通常シーンと高負荷シーンの不具合を記録し、プレイや画面の説得力に影響する問題を優先して修正する。</t>
  </si>
  <si>
    <t>K3</t>
  </si>
  <si>
    <t>被写界深度とモーションブラー</t>
  </si>
  <si>
    <t>戦闘情報を大きく隠したり、不正な輪郭を生じさせたりしない</t>
  </si>
  <si>
    <t>各ゲームプレイに応じたカメラ処理が適切で、透明物体に目立つアーティファクトがない</t>
  </si>
  <si>
    <t>カメラワークの質感とアクションの見やすさを両立している</t>
  </si>
  <si>
    <t>ポストプロセスのパラメータ；オン／オフ比較；戦闘とカットシーン</t>
  </si>
  <si>
    <t>「被写界深度とモーションブラー」について通常シーンと高負荷シーンの不具合を記録し、プレイや画面の説得力に影響する問題を優先して修正する。</t>
  </si>
  <si>
    <t>K4</t>
  </si>
  <si>
    <t>ポストプロセス領域とカメラ切り替えのつながり</t>
  </si>
  <si>
    <t>ポストプロセスボリュームの境界で、色や露出が不自然に急変しない</t>
  </si>
  <si>
    <t>ボリュームのブレンド、優先順位、カメラ側のオーバーライド動作が安定している</t>
  </si>
  <si>
    <t>複雑なレベル遷移やカットシーンへの切り替えでも、常に自然につながる</t>
  </si>
  <si>
    <t>PostProcessVolumeの優先順位／ブレンドウェイト；カメラのポストプロセス</t>
  </si>
  <si>
    <t>「ポストプロセス領域とカメラ切り替えのつながり」について通常シーンと高負荷シーンの不具合を記録し、プレイや画面の説得力に影響する問題を優先して修正する。</t>
  </si>
  <si>
    <t>K5</t>
  </si>
  <si>
    <t>ディスプレイへの対応とキャリブレーション</t>
  </si>
  <si>
    <t>対応するSDR／HDRモードの黒レベルと白レベルが適切である</t>
  </si>
  <si>
    <t>想定する表示条件が変わっても、重要な情報の視認性が保たれる</t>
  </si>
  <si>
    <t>幅広い想定表示条件でも、輝度と色彩がデザイン意図を維持している</t>
  </si>
  <si>
    <t>対応モード；キャリブレーション手順；表示機器と出力形式</t>
  </si>
  <si>
    <t>「ディスプレイへの対応とキャリブレーション」について通常シーンと高負荷シーンの不具合を記録し、プレイや画面の説得力に影響する問題を優先して修正する。</t>
  </si>
  <si>
    <t>L1</t>
  </si>
  <si>
    <t>通常エリアの最低品質基準</t>
  </si>
  <si>
    <t>メインルートの通常区間に、未完成に見える箇所が広範囲に存在しない</t>
  </si>
  <si>
    <t>脇道や再訪するエリアでも、完成度が安定している</t>
  </si>
  <si>
    <t>プレイ全体を通して、高品質ラインを明らかに下回るエリアがほとんどない</t>
  </si>
  <si>
    <t>プレイ時間で重み付けしたチャプター別サンプリング；低評価ショットの一覧</t>
  </si>
  <si>
    <t>「通常エリアの最低品質基準」について通常シーンと高負荷シーンの不具合を記録し、プレイや画面の説得力に影響する問題を優先して修正する。</t>
  </si>
  <si>
    <t>L2</t>
  </si>
  <si>
    <t>高負荷シーンのビジュアル最低品質基準</t>
  </si>
  <si>
    <t>設計上の敵数／エフェクト数が最大の状態でも、表示に重大な破綻がない</t>
  </si>
  <si>
    <t>クライマックス、ボス戦、複雑なシーンでも、画面全体の品質を維持している</t>
  </si>
  <si>
    <t>極端でも実際に発生し得るゲームプレイの組み合わせで、高い完成度を維持している</t>
  </si>
  <si>
    <t>設計上の最大負荷と実測記録；高負荷シーンの映像</t>
  </si>
  <si>
    <t>「高負荷シーンのビジュアル最低品質基準」について通常シーンと高負荷シーンの不具合を記録し、プレイや画面の説得力に影響する問題を優先して修正する。</t>
  </si>
  <si>
    <t>L3</t>
  </si>
  <si>
    <t>シーン間の統一感</t>
  </si>
  <si>
    <t>チャプター間で、マテリアル、ライティング、密度に意図しない大きな品質差がない</t>
  </si>
  <si>
    <t>異なるチームが制作したコンテンツにも、同じ受入基準が適用されている</t>
  </si>
  <si>
    <t>変化に意図があり、完成度は常に一貫している</t>
  </si>
  <si>
    <t>複数チャプターを同一基準で比較した資料；外注納品ロットごとのレビュー</t>
  </si>
  <si>
    <t>「シーン間の統一感」について通常シーンと高負荷シーンの不具合を記録し、プレイや画面の説得力に影響する問題を優先して修正する。</t>
  </si>
  <si>
    <t>L4</t>
  </si>
  <si>
    <t>長時間プレイ時の品質</t>
  </si>
  <si>
    <t>長時間プレイ後も、テクスチャのぼけやコンテンツの欠落が持続しない</t>
  </si>
  <si>
    <t>死亡、レベル切り替え、再訪を繰り返しても、品質が安定している</t>
  </si>
  <si>
    <t>長時間プレイや切り替えの反復後も、初回の安定した状態を維持している</t>
  </si>
  <si>
    <t>少なくとも1回の長時間連続プレイテスト；メモリ／ストリーミングと画面の記録</t>
  </si>
  <si>
    <t>「長時間プレイ時の品質」について通常シーンと高負荷シーンの不具合を記録し、プレイや画面の説得力に影響する問題を優先して修正する。</t>
  </si>
  <si>
    <t>L5</t>
  </si>
  <si>
    <t>モード・バージョン間の一貫性</t>
  </si>
  <si>
    <t>レビューに提出したバージョンとモードを再現できる</t>
  </si>
  <si>
    <t>プロモーションの主要ショットと提供を約束したモードとの差が明示され、説明できる</t>
  </si>
  <si>
    <t>通常プレイでも、プロモーションで示した主要なビジュアル特性を継続して実現できる</t>
  </si>
  <si>
    <t>バージョン番号；プラットフォーム別モード一覧；プロモーション映像と実機映像の対応比較</t>
  </si>
  <si>
    <t>「モード・バージョン間の一貫性」について通常シーンと高負荷シーンの不具合を記録し、プレイや画面の説得力に影響する問題を優先して修正する。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</si>
</sst>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7">
    <font>
      <sz val="11.0"/>
      <color rgb="FF000000"/>
      <name val="Carlito"/>
      <scheme val="minor"/>
    </font>
    <font>
      <sz val="11.0"/>
      <color rgb="FF213047"/>
      <name val="Arial"/>
    </font>
    <font>
      <b/>
      <sz val="16.0"/>
      <color rgb="FF24364D"/>
      <name val="Arial"/>
    </font>
    <font>
      <sz val="11.0"/>
      <color rgb="FF9B5E00"/>
      <name val="Arial"/>
    </font>
    <font>
      <i/>
      <sz val="11.0"/>
      <color rgb="FF657387"/>
      <name val="Arial"/>
    </font>
    <font>
      <b/>
      <sz val="11.0"/>
      <color rgb="FFFFFFFF"/>
      <name val="Arial"/>
    </font>
    <font>
      <b/>
      <sz val="11.0"/>
      <color rgb="FF24364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24364D"/>
        <bgColor rgb="FF24364D"/>
      </patternFill>
    </fill>
    <fill>
      <patternFill patternType="solid">
        <fgColor rgb="FFFFFFFF"/>
        <bgColor rgb="FFFFFFFF"/>
      </patternFill>
    </fill>
    <fill>
      <patternFill patternType="solid">
        <fgColor rgb="FFF1F4F7"/>
        <bgColor rgb="FFF1F4F7"/>
      </patternFill>
    </fill>
  </fills>
  <borders count="4">
    <border/>
    <border>
      <bottom style="thin">
        <color rgb="FFC4CDD7"/>
      </bottom>
    </border>
    <border>
      <left/>
      <right/>
      <top/>
      <bottom/>
    </border>
    <border>
      <top style="thin">
        <color rgb="FFC4CDD7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2" fillId="2" fontId="3" numFmtId="0" xfId="0" applyAlignment="1" applyBorder="1" applyFill="1" applyFont="1">
      <alignment vertical="center"/>
    </xf>
    <xf borderId="2" fillId="2" fontId="3" numFmtId="164" xfId="0" applyAlignment="1" applyBorder="1" applyFill="1" applyFont="1" applyNumberFormat="1">
      <alignment vertical="center"/>
    </xf>
    <xf borderId="0" fillId="0" fontId="2" numFmtId="2" xfId="0" applyAlignment="1" applyFont="1" applyNumberFormat="1">
      <alignment vertical="center"/>
    </xf>
    <xf borderId="0" fillId="0" fontId="4" numFmtId="0" xfId="0" applyAlignment="1" applyFont="1">
      <alignment vertical="center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0" fontId="1" numFmtId="165" xfId="0" applyAlignment="1" applyFont="1" applyNumberFormat="1">
      <alignment vertical="center"/>
    </xf>
    <xf borderId="2" fillId="4" fontId="1" numFmtId="0" xfId="0" applyAlignment="1" applyBorder="1" applyFill="1" applyFont="1">
      <alignment shrinkToFit="0" vertical="center" wrapText="1"/>
    </xf>
    <xf borderId="0" fillId="0" fontId="1" numFmtId="9" xfId="0" applyAlignment="1" applyFont="1" applyNumberFormat="1">
      <alignment vertical="center"/>
    </xf>
    <xf borderId="2" fillId="4" fontId="1" numFmtId="165" xfId="0" applyAlignment="1" applyBorder="1" applyFill="1" applyFont="1" applyNumberFormat="1">
      <alignment horizontal="right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shrinkToFit="0" vertical="center" wrapText="1"/>
    </xf>
    <xf borderId="2" fillId="4" fontId="1" numFmtId="165" xfId="0" applyAlignment="1" applyBorder="1" applyFill="1" applyFont="1" applyNumberFormat="1">
      <alignment horizontal="right" vertical="center"/>
    </xf>
    <xf borderId="2" fillId="5" fontId="1" numFmtId="0" xfId="0" applyAlignment="1" applyBorder="1" applyFill="1" applyFont="1">
      <alignment shrinkToFit="0" vertical="center" wrapText="1"/>
    </xf>
    <xf borderId="2" fillId="4" fontId="1" numFmtId="1" xfId="0" applyAlignment="1" applyBorder="1" applyFill="1" applyFont="1" applyNumberFormat="1">
      <alignment horizontal="right" vertical="center"/>
    </xf>
    <xf borderId="2" fillId="5" fontId="1" numFmtId="165" xfId="0" applyAlignment="1" applyBorder="1" applyFill="1" applyFont="1" applyNumberFormat="1">
      <alignment horizontal="right" shrinkToFit="0" vertical="center" wrapText="1"/>
    </xf>
    <xf borderId="2" fillId="4" fontId="1" numFmtId="1" xfId="0" applyAlignment="1" applyBorder="1" applyFill="1" applyFont="1" applyNumberFormat="1">
      <alignment horizontal="right" shrinkToFit="0" vertical="center" wrapText="1"/>
    </xf>
    <xf borderId="2" fillId="4" fontId="1" numFmtId="2" xfId="0" applyAlignment="1" applyBorder="1" applyFill="1" applyFont="1" applyNumberFormat="1">
      <alignment horizontal="right" shrinkToFit="0" vertical="center" wrapText="1"/>
    </xf>
    <xf borderId="2" fillId="2" fontId="3" numFmtId="2" xfId="0" applyAlignment="1" applyBorder="1" applyFill="1" applyFont="1" applyNumberFormat="1">
      <alignment horizontal="right" shrinkToFit="0" vertical="center" wrapText="1"/>
    </xf>
    <xf borderId="2" fillId="5" fontId="1" numFmtId="0" xfId="0" applyAlignment="1" applyBorder="1" applyFill="1" applyFont="1">
      <alignment shrinkToFit="0" vertical="center" wrapText="1"/>
    </xf>
    <xf borderId="2" fillId="5" fontId="1" numFmtId="165" xfId="0" applyAlignment="1" applyBorder="1" applyFill="1" applyFont="1" applyNumberFormat="1">
      <alignment horizontal="right" vertical="center"/>
    </xf>
    <xf borderId="2" fillId="5" fontId="1" numFmtId="1" xfId="0" applyAlignment="1" applyBorder="1" applyFill="1" applyFont="1" applyNumberFormat="1">
      <alignment horizontal="right" vertical="center"/>
    </xf>
    <xf borderId="2" fillId="5" fontId="1" numFmtId="1" xfId="0" applyAlignment="1" applyBorder="1" applyFill="1" applyFont="1" applyNumberFormat="1">
      <alignment horizontal="right" shrinkToFit="0" vertical="center" wrapText="1"/>
    </xf>
    <xf borderId="2" fillId="2" fontId="3" numFmtId="165" xfId="0" applyAlignment="1" applyBorder="1" applyFill="1" applyFont="1" applyNumberFormat="1">
      <alignment horizontal="right" shrinkToFit="0" vertical="center" wrapText="1"/>
    </xf>
    <xf borderId="2" fillId="5" fontId="1" numFmtId="2" xfId="0" applyAlignment="1" applyBorder="1" applyFill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vertical="center"/>
    </xf>
    <xf borderId="3" fillId="0" fontId="6" numFmtId="165" xfId="0" applyAlignment="1" applyBorder="1" applyFont="1" applyNumberFormat="1">
      <alignment vertical="center"/>
    </xf>
    <xf borderId="3" fillId="0" fontId="6" numFmtId="165" xfId="0" applyAlignment="1" applyBorder="1" applyFont="1" applyNumberFormat="1">
      <alignment shrinkToFit="0" vertical="center" wrapText="1"/>
    </xf>
    <xf borderId="0" fillId="0" fontId="1" numFmtId="2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color rgb="FFA13222"/>
      </font>
      <fill>
        <patternFill patternType="solid">
          <fgColor rgb="FFFBE5DE"/>
          <bgColor rgb="FFFBE5DE"/>
        </patternFill>
      </fill>
      <border/>
    </dxf>
  </dxfs>
  <tableStyles count="3">
    <tableStyle count="4" pivot="0" name="60項目の基準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追加データ一覧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採点入力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R65" displayName="Ratings" name="Ratings" id="3">
  <tableColumns count="18">
    <tableColumn name="番号" id="1"/>
    <tableColumn name="評価カテゴリ" id="2"/>
    <tableColumn name="評価項目" id="3"/>
    <tableColumn name="満点時の加重点" id="4"/>
    <tableColumn name="通常シーンのスコア" id="5"/>
    <tableColumn name="高負荷シーンのスコア" id="6"/>
    <tableColumn name="統合スコア／5" id="7"/>
    <tableColumn name="獲得加重点" id="8"/>
    <tableColumn name="両シーンの確認" id="9"/>
    <tableColumn name="通常シーンの根拠資料" id="10"/>
    <tableColumn name="高負荷シーンの根拠資料" id="11"/>
    <tableColumn name="ビルド／カメラ位置" id="12"/>
    <tableColumn name="不具合と修正内容" id="13"/>
    <tableColumn name="担当者" id="14"/>
    <tableColumn name="目標スコア／5" id="15"/>
    <tableColumn name="採点の充足" id="16"/>
    <tableColumn name="根拠資料の充足" id="17"/>
    <tableColumn name="目標達成による加点" id="18"/>
  </tableColumns>
  <tableStyleInfo name="採点入力-style" showColumnStripes="0" showFirstColumn="1" showLastColumn="1" showRowStripes="1"/>
</table>
</file>

<file path=xl/tables/table2.xml><?xml version="1.0" encoding="utf-8"?>
<table xmlns="http://schemas.openxmlformats.org/spreadsheetml/2006/main" ref="A5:J65" displayName="Standards" name="Standards" id="1">
  <tableColumns count="10">
    <tableColumn name="番号" id="1"/>
    <tableColumn name="評価カテゴリ" id="2"/>
    <tableColumn name="評価項目" id="3"/>
    <tableColumn name="満点時の加重点" id="4"/>
    <tableColumn name="3点：基本合格" id="5"/>
    <tableColumn name="4点：高品質" id="6"/>
    <tableColumn name="5点：最高水準の表現" id="7"/>
    <tableColumn name="提出すべき根拠資料" id="8"/>
    <tableColumn name="優先的な改善方針" id="9"/>
    <tableColumn name="参考資料" id="10"/>
  </tableColumns>
  <tableStyleInfo name="60項目の基準-style" showColumnStripes="0" showFirstColumn="1" showLastColumn="1" showRowStripes="1"/>
</table>
</file>

<file path=xl/tables/table3.xml><?xml version="1.0" encoding="utf-8"?>
<table xmlns="http://schemas.openxmlformats.org/spreadsheetml/2006/main" ref="A5:K65" displayName="EvidenceRequests" name="EvidenceRequests" id="2">
  <tableColumns count="11">
    <tableColumn name="番号" id="1"/>
    <tableColumn name="評価カテゴリ" id="2"/>
    <tableColumn name="評価項目" id="3"/>
    <tableColumn name="提出が必要なデータ／根拠資料" id="4"/>
    <tableColumn name="把握している事実" id="5"/>
    <tableColumn name="確認が必要な事項" id="6"/>
    <tableColumn name="担当者" id="7"/>
    <tableColumn name="最新の測定結果" id="8"/>
    <tableColumn name="根拠資料へのリンク" id="9"/>
    <tableColumn name="ビルド／測定日" id="10"/>
    <tableColumn name="収集状況" id="11"/>
  </tableColumns>
  <tableStyleInfo name="追加データ一覧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64D"/>
    <pageSetUpPr/>
  </sheetPr>
  <sheetViews>
    <sheetView showGridLines="0" workbookViewId="0"/>
  </sheetViews>
  <sheetFormatPr customHeight="1" defaultColWidth="12.63" defaultRowHeight="15.0"/>
  <cols>
    <col customWidth="1" min="1" max="1" width="21.88"/>
    <col customWidth="1" min="2" max="2" width="37.5"/>
    <col customWidth="1" min="3" max="3" width="11.25"/>
    <col customWidth="1" min="4" max="4" width="15.0"/>
    <col customWidth="1" min="5" max="5" width="28.75"/>
    <col customWidth="1" min="6" max="6" width="26.88"/>
    <col customWidth="1" min="7" max="7" width="17.5"/>
    <col customWidth="1" min="8" max="8" width="26.88"/>
    <col customWidth="1" min="9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</row>
    <row r="2" ht="33.75" customHeight="1">
      <c r="A2" s="2" t="s">
        <v>0</v>
      </c>
      <c r="B2" s="1"/>
      <c r="C2" s="1"/>
      <c r="D2" s="1"/>
      <c r="E2" s="1"/>
      <c r="F2" s="1"/>
      <c r="G2" s="1"/>
      <c r="H2" s="1"/>
    </row>
    <row r="3" ht="22.5" customHeight="1">
      <c r="A3" s="3"/>
      <c r="B3" s="3"/>
      <c r="C3" s="3"/>
      <c r="D3" s="3"/>
      <c r="E3" s="3"/>
      <c r="F3" s="3"/>
      <c r="G3" s="3"/>
      <c r="H3" s="3"/>
    </row>
    <row r="4" ht="30.75" customHeight="1">
      <c r="A4" s="4" t="s">
        <v>1</v>
      </c>
      <c r="B4" s="5" t="s">
        <v>2</v>
      </c>
      <c r="C4" s="5"/>
      <c r="D4" s="5"/>
      <c r="E4" s="4" t="s">
        <v>3</v>
      </c>
      <c r="F4" s="5"/>
      <c r="G4" s="5"/>
      <c r="H4" s="5"/>
    </row>
    <row r="5" ht="30.75" customHeight="1">
      <c r="A5" s="4" t="s">
        <v>4</v>
      </c>
      <c r="B5" s="6"/>
      <c r="C5" s="5"/>
      <c r="D5" s="5"/>
      <c r="E5" s="4" t="s">
        <v>5</v>
      </c>
      <c r="F5" s="5"/>
      <c r="G5" s="5"/>
      <c r="H5" s="5"/>
    </row>
    <row r="6" ht="30.75" customHeight="1">
      <c r="A6" s="4" t="s">
        <v>6</v>
      </c>
      <c r="B6" s="5">
        <v>60.0</v>
      </c>
      <c r="C6" s="1"/>
      <c r="D6" s="1"/>
      <c r="E6" s="4" t="s">
        <v>7</v>
      </c>
      <c r="F6" s="5"/>
      <c r="G6" s="5"/>
      <c r="H6" s="5"/>
    </row>
    <row r="7" ht="27.75" customHeight="1">
      <c r="A7" s="4"/>
      <c r="B7" s="1"/>
      <c r="C7" s="1"/>
      <c r="D7" s="1"/>
      <c r="E7" s="4"/>
      <c r="F7" s="1"/>
      <c r="G7" s="1"/>
      <c r="H7" s="1"/>
    </row>
    <row r="8" ht="27.75" customHeight="1">
      <c r="A8" s="4" t="s">
        <v>8</v>
      </c>
      <c r="B8" s="7" t="str">
        <f>IF(AND(B10=60,F10=60),ROUND(SUM('採点入力'!H6:H65),6),"")</f>
        <v/>
      </c>
      <c r="C8" s="1"/>
      <c r="D8" s="1"/>
      <c r="E8" s="4" t="s">
        <v>11</v>
      </c>
      <c r="F8" s="1" t="str">
        <f>IF(ISNUMBER(B8),LOOKUP(B8,'使用方法'!$A$23:$A$27,'使用方法'!$B$23:$B$27),"")</f>
        <v/>
      </c>
      <c r="G8" s="1"/>
      <c r="H8" s="1"/>
    </row>
    <row r="9" ht="27.75" customHeight="1">
      <c r="A9" s="4" t="s">
        <v>15</v>
      </c>
      <c r="B9" s="1" t="str">
        <f>IF(B10&lt;60,"採点未完了",IF(F10&lt;60,"根拠資料未完備","採点・根拠資料完備"))</f>
        <v>採点未完了</v>
      </c>
      <c r="C9" s="1"/>
      <c r="D9" s="1"/>
      <c r="E9" s="4" t="s">
        <v>20</v>
      </c>
      <c r="F9" s="5" t="s">
        <v>25</v>
      </c>
      <c r="G9" s="5"/>
      <c r="H9" s="5"/>
    </row>
    <row r="10" ht="27.75" customHeight="1">
      <c r="A10" s="4" t="s">
        <v>29</v>
      </c>
      <c r="B10" s="10">
        <f>SUM('採点入力'!P6:P65)</f>
        <v>0</v>
      </c>
      <c r="C10" s="1"/>
      <c r="D10" s="1"/>
      <c r="E10" s="4" t="s">
        <v>36</v>
      </c>
      <c r="F10" s="10">
        <f>SUM('採点入力'!Q6:Q65)</f>
        <v>0</v>
      </c>
      <c r="G10" s="1"/>
      <c r="H10" s="1"/>
    </row>
    <row r="11" ht="27.75" customHeight="1">
      <c r="A11" s="4" t="s">
        <v>40</v>
      </c>
      <c r="B11" s="12">
        <f>SUMPRODUCT('採点入力'!D6:D65,'採点入力'!P6:P65)/100</f>
        <v>0</v>
      </c>
      <c r="C11" s="1"/>
      <c r="D11" s="1"/>
      <c r="E11" s="4" t="s">
        <v>46</v>
      </c>
      <c r="F11" s="12">
        <f>SUMPRODUCT('採点入力'!D6:D65,'採点入力'!Q6:Q65)/100</f>
        <v>0</v>
      </c>
      <c r="G11" s="1"/>
      <c r="H11" s="1"/>
    </row>
    <row r="12" ht="27.75" customHeight="1">
      <c r="A12" s="4"/>
      <c r="B12" s="1"/>
      <c r="C12" s="1"/>
      <c r="D12" s="1"/>
      <c r="E12" s="4"/>
      <c r="F12" s="1"/>
      <c r="G12" s="1"/>
      <c r="H12" s="1"/>
    </row>
    <row r="13" ht="37.5" customHeight="1">
      <c r="A13" s="15" t="s">
        <v>16</v>
      </c>
      <c r="B13" s="15" t="s">
        <v>55</v>
      </c>
      <c r="C13" s="15" t="s">
        <v>57</v>
      </c>
      <c r="D13" s="15" t="s">
        <v>29</v>
      </c>
      <c r="E13" s="15" t="s">
        <v>36</v>
      </c>
      <c r="F13" s="15" t="s">
        <v>59</v>
      </c>
      <c r="G13" s="15" t="s">
        <v>60</v>
      </c>
      <c r="H13" s="15" t="s">
        <v>63</v>
      </c>
    </row>
    <row r="14" ht="33.75" customHeight="1">
      <c r="A14" s="16" t="s">
        <v>64</v>
      </c>
      <c r="B14" s="16" t="s">
        <v>41</v>
      </c>
      <c r="C14" s="17">
        <v>6.0</v>
      </c>
      <c r="D14" s="19">
        <f>SUMIFS('採点入力'!$P$6:$P$65,'採点入力'!$B$6:$B$65,B14)</f>
        <v>0</v>
      </c>
      <c r="E14" s="21">
        <f>SUMIFS('採点入力'!$Q$6:$Q$65,'採点入力'!$B$6:$B$65,B14)</f>
        <v>0</v>
      </c>
      <c r="F14" s="17" t="str">
        <f>IF(D14=5,ROUND(SUMIFS('採点入力'!$H$6:$H$65,'採点入力'!$B$6:$B$65,B14)/C14*5,6),"")</f>
        <v/>
      </c>
      <c r="G14" s="17" t="str">
        <f>IF(D14=5,SUMIFS('採点入力'!$H$6:$H$65,'採点入力'!$B$6:$B$65,B14),"")</f>
        <v/>
      </c>
      <c r="H14" s="17" t="str">
        <f t="shared" ref="H14:H25" si="1">IF(ISNUMBER(F14),MAX(0,(4-F14)/5*C14),"")</f>
        <v/>
      </c>
    </row>
    <row r="15" ht="33.75" customHeight="1">
      <c r="A15" s="24" t="s">
        <v>84</v>
      </c>
      <c r="B15" s="24" t="s">
        <v>85</v>
      </c>
      <c r="C15" s="25">
        <v>12.0</v>
      </c>
      <c r="D15" s="26">
        <f>SUMIFS('採点入力'!$P$6:$P$65,'採点入力'!$B$6:$B$65,B15)</f>
        <v>0</v>
      </c>
      <c r="E15" s="27">
        <f>SUMIFS('採点入力'!$Q$6:$Q$65,'採点入力'!$B$6:$B$65,B15)</f>
        <v>0</v>
      </c>
      <c r="F15" s="25" t="str">
        <f>IF(D15=5,ROUND(SUMIFS('採点入力'!$H$6:$H$65,'採点入力'!$B$6:$B$65,B15)/C15*5,6),"")</f>
        <v/>
      </c>
      <c r="G15" s="25" t="str">
        <f>IF(D15=5,SUMIFS('採点入力'!$H$6:$H$65,'採点入力'!$B$6:$B$65,B15),"")</f>
        <v/>
      </c>
      <c r="H15" s="25" t="str">
        <f t="shared" si="1"/>
        <v/>
      </c>
    </row>
    <row r="16" ht="33.75" customHeight="1">
      <c r="A16" s="16" t="s">
        <v>98</v>
      </c>
      <c r="B16" s="16" t="s">
        <v>99</v>
      </c>
      <c r="C16" s="17">
        <v>10.0</v>
      </c>
      <c r="D16" s="19">
        <f>SUMIFS('採点入力'!$P$6:$P$65,'採点入力'!$B$6:$B$65,B16)</f>
        <v>0</v>
      </c>
      <c r="E16" s="21">
        <f>SUMIFS('採点入力'!$Q$6:$Q$65,'採点入力'!$B$6:$B$65,B16)</f>
        <v>0</v>
      </c>
      <c r="F16" s="17" t="str">
        <f>IF(D16=5,ROUND(SUMIFS('採点入力'!$H$6:$H$65,'採点入力'!$B$6:$B$65,B16)/C16*5,6),"")</f>
        <v/>
      </c>
      <c r="G16" s="17" t="str">
        <f>IF(D16=5,SUMIFS('採点入力'!$H$6:$H$65,'採点入力'!$B$6:$B$65,B16),"")</f>
        <v/>
      </c>
      <c r="H16" s="17" t="str">
        <f t="shared" si="1"/>
        <v/>
      </c>
    </row>
    <row r="17" ht="33.75" customHeight="1">
      <c r="A17" s="24" t="s">
        <v>108</v>
      </c>
      <c r="B17" s="24" t="s">
        <v>109</v>
      </c>
      <c r="C17" s="25">
        <v>14.0</v>
      </c>
      <c r="D17" s="26">
        <f>SUMIFS('採点入力'!$P$6:$P$65,'採点入力'!$B$6:$B$65,B17)</f>
        <v>0</v>
      </c>
      <c r="E17" s="27">
        <f>SUMIFS('採点入力'!$Q$6:$Q$65,'採点入力'!$B$6:$B$65,B17)</f>
        <v>0</v>
      </c>
      <c r="F17" s="25" t="str">
        <f>IF(D17=5,ROUND(SUMIFS('採点入力'!$H$6:$H$65,'採点入力'!$B$6:$B$65,B17)/C17*5,6),"")</f>
        <v/>
      </c>
      <c r="G17" s="25" t="str">
        <f>IF(D17=5,SUMIFS('採点入力'!$H$6:$H$65,'採点入力'!$B$6:$B$65,B17),"")</f>
        <v/>
      </c>
      <c r="H17" s="25" t="str">
        <f t="shared" si="1"/>
        <v/>
      </c>
    </row>
    <row r="18" ht="33.75" customHeight="1">
      <c r="A18" s="16" t="s">
        <v>119</v>
      </c>
      <c r="B18" s="16" t="s">
        <v>120</v>
      </c>
      <c r="C18" s="17">
        <v>8.0</v>
      </c>
      <c r="D18" s="19">
        <f>SUMIFS('採点入力'!$P$6:$P$65,'採点入力'!$B$6:$B$65,B18)</f>
        <v>0</v>
      </c>
      <c r="E18" s="21">
        <f>SUMIFS('採点入力'!$Q$6:$Q$65,'採点入力'!$B$6:$B$65,B18)</f>
        <v>0</v>
      </c>
      <c r="F18" s="17" t="str">
        <f>IF(D18=5,ROUND(SUMIFS('採点入力'!$H$6:$H$65,'採点入力'!$B$6:$B$65,B18)/C18*5,6),"")</f>
        <v/>
      </c>
      <c r="G18" s="17" t="str">
        <f>IF(D18=5,SUMIFS('採点入力'!$H$6:$H$65,'採点入力'!$B$6:$B$65,B18),"")</f>
        <v/>
      </c>
      <c r="H18" s="17" t="str">
        <f t="shared" si="1"/>
        <v/>
      </c>
    </row>
    <row r="19" ht="33.75" customHeight="1">
      <c r="A19" s="24" t="s">
        <v>132</v>
      </c>
      <c r="B19" s="24" t="s">
        <v>133</v>
      </c>
      <c r="C19" s="25">
        <v>6.0</v>
      </c>
      <c r="D19" s="26">
        <f>SUMIFS('採点入力'!$P$6:$P$65,'採点入力'!$B$6:$B$65,B19)</f>
        <v>0</v>
      </c>
      <c r="E19" s="27">
        <f>SUMIFS('採点入力'!$Q$6:$Q$65,'採点入力'!$B$6:$B$65,B19)</f>
        <v>0</v>
      </c>
      <c r="F19" s="25" t="str">
        <f>IF(D19=5,ROUND(SUMIFS('採点入力'!$H$6:$H$65,'採点入力'!$B$6:$B$65,B19)/C19*5,6),"")</f>
        <v/>
      </c>
      <c r="G19" s="25" t="str">
        <f>IF(D19=5,SUMIFS('採点入力'!$H$6:$H$65,'採点入力'!$B$6:$B$65,B19),"")</f>
        <v/>
      </c>
      <c r="H19" s="25" t="str">
        <f t="shared" si="1"/>
        <v/>
      </c>
    </row>
    <row r="20" ht="33.75" customHeight="1">
      <c r="A20" s="16" t="s">
        <v>141</v>
      </c>
      <c r="B20" s="16" t="s">
        <v>142</v>
      </c>
      <c r="C20" s="17">
        <v>5.0</v>
      </c>
      <c r="D20" s="19">
        <f>SUMIFS('採点入力'!$P$6:$P$65,'採点入力'!$B$6:$B$65,B20)</f>
        <v>0</v>
      </c>
      <c r="E20" s="21">
        <f>SUMIFS('採点入力'!$Q$6:$Q$65,'採点入力'!$B$6:$B$65,B20)</f>
        <v>0</v>
      </c>
      <c r="F20" s="17" t="str">
        <f>IF(D20=5,ROUND(SUMIFS('採点入力'!$H$6:$H$65,'採点入力'!$B$6:$B$65,B20)/C20*5,6),"")</f>
        <v/>
      </c>
      <c r="G20" s="17" t="str">
        <f>IF(D20=5,SUMIFS('採点入力'!$H$6:$H$65,'採点入力'!$B$6:$B$65,B20),"")</f>
        <v/>
      </c>
      <c r="H20" s="17" t="str">
        <f t="shared" si="1"/>
        <v/>
      </c>
    </row>
    <row r="21" ht="33.75" customHeight="1">
      <c r="A21" s="24" t="s">
        <v>151</v>
      </c>
      <c r="B21" s="24" t="s">
        <v>152</v>
      </c>
      <c r="C21" s="25">
        <v>10.0</v>
      </c>
      <c r="D21" s="26">
        <f>SUMIFS('採点入力'!$P$6:$P$65,'採点入力'!$B$6:$B$65,B21)</f>
        <v>0</v>
      </c>
      <c r="E21" s="27">
        <f>SUMIFS('採点入力'!$Q$6:$Q$65,'採点入力'!$B$6:$B$65,B21)</f>
        <v>0</v>
      </c>
      <c r="F21" s="25" t="str">
        <f>IF(D21=5,ROUND(SUMIFS('採点入力'!$H$6:$H$65,'採点入力'!$B$6:$B$65,B21)/C21*5,6),"")</f>
        <v/>
      </c>
      <c r="G21" s="25" t="str">
        <f>IF(D21=5,SUMIFS('採点入力'!$H$6:$H$65,'採点入力'!$B$6:$B$65,B21),"")</f>
        <v/>
      </c>
      <c r="H21" s="25" t="str">
        <f t="shared" si="1"/>
        <v/>
      </c>
    </row>
    <row r="22" ht="33.75" customHeight="1">
      <c r="A22" s="16" t="s">
        <v>161</v>
      </c>
      <c r="B22" s="16" t="s">
        <v>162</v>
      </c>
      <c r="C22" s="17">
        <v>8.0</v>
      </c>
      <c r="D22" s="19">
        <f>SUMIFS('採点入力'!$P$6:$P$65,'採点入力'!$B$6:$B$65,B22)</f>
        <v>0</v>
      </c>
      <c r="E22" s="21">
        <f>SUMIFS('採点入力'!$Q$6:$Q$65,'採点入力'!$B$6:$B$65,B22)</f>
        <v>0</v>
      </c>
      <c r="F22" s="17" t="str">
        <f>IF(D22=5,ROUND(SUMIFS('採点入力'!$H$6:$H$65,'採点入力'!$B$6:$B$65,B22)/C22*5,6),"")</f>
        <v/>
      </c>
      <c r="G22" s="17" t="str">
        <f>IF(D22=5,SUMIFS('採点入力'!$H$6:$H$65,'採点入力'!$B$6:$B$65,B22),"")</f>
        <v/>
      </c>
      <c r="H22" s="17" t="str">
        <f t="shared" si="1"/>
        <v/>
      </c>
    </row>
    <row r="23" ht="33.75" customHeight="1">
      <c r="A23" s="24" t="s">
        <v>170</v>
      </c>
      <c r="B23" s="24" t="s">
        <v>171</v>
      </c>
      <c r="C23" s="25">
        <v>10.0</v>
      </c>
      <c r="D23" s="26">
        <f>SUMIFS('採点入力'!$P$6:$P$65,'採点入力'!$B$6:$B$65,B23)</f>
        <v>0</v>
      </c>
      <c r="E23" s="27">
        <f>SUMIFS('採点入力'!$Q$6:$Q$65,'採点入力'!$B$6:$B$65,B23)</f>
        <v>0</v>
      </c>
      <c r="F23" s="25" t="str">
        <f>IF(D23=5,ROUND(SUMIFS('採点入力'!$H$6:$H$65,'採点入力'!$B$6:$B$65,B23)/C23*5,6),"")</f>
        <v/>
      </c>
      <c r="G23" s="25" t="str">
        <f>IF(D23=5,SUMIFS('採点入力'!$H$6:$H$65,'採点入力'!$B$6:$B$65,B23),"")</f>
        <v/>
      </c>
      <c r="H23" s="25" t="str">
        <f t="shared" si="1"/>
        <v/>
      </c>
    </row>
    <row r="24" ht="33.75" customHeight="1">
      <c r="A24" s="16" t="s">
        <v>182</v>
      </c>
      <c r="B24" s="16" t="s">
        <v>184</v>
      </c>
      <c r="C24" s="17">
        <v>6.0</v>
      </c>
      <c r="D24" s="19">
        <f>SUMIFS('採点入力'!$P$6:$P$65,'採点入力'!$B$6:$B$65,B24)</f>
        <v>0</v>
      </c>
      <c r="E24" s="21">
        <f>SUMIFS('採点入力'!$Q$6:$Q$65,'採点入力'!$B$6:$B$65,B24)</f>
        <v>0</v>
      </c>
      <c r="F24" s="17" t="str">
        <f>IF(D24=5,ROUND(SUMIFS('採点入力'!$H$6:$H$65,'採点入力'!$B$6:$B$65,B24)/C24*5,6),"")</f>
        <v/>
      </c>
      <c r="G24" s="17" t="str">
        <f>IF(D24=5,SUMIFS('採点入力'!$H$6:$H$65,'採点入力'!$B$6:$B$65,B24),"")</f>
        <v/>
      </c>
      <c r="H24" s="17" t="str">
        <f t="shared" si="1"/>
        <v/>
      </c>
    </row>
    <row r="25" ht="33.75" customHeight="1">
      <c r="A25" s="24" t="s">
        <v>193</v>
      </c>
      <c r="B25" s="24" t="s">
        <v>194</v>
      </c>
      <c r="C25" s="25">
        <v>5.0</v>
      </c>
      <c r="D25" s="26">
        <f>SUMIFS('採点入力'!$P$6:$P$65,'採点入力'!$B$6:$B$65,B25)</f>
        <v>0</v>
      </c>
      <c r="E25" s="27">
        <f>SUMIFS('採点入力'!$Q$6:$Q$65,'採点入力'!$B$6:$B$65,B25)</f>
        <v>0</v>
      </c>
      <c r="F25" s="25" t="str">
        <f>IF(D25=5,ROUND(SUMIFS('採点入力'!$H$6:$H$65,'採点入力'!$B$6:$B$65,B25)/C25*5,6),"")</f>
        <v/>
      </c>
      <c r="G25" s="25" t="str">
        <f>IF(D25=5,SUMIFS('採点入力'!$H$6:$H$65,'採点入力'!$B$6:$B$65,B25),"")</f>
        <v/>
      </c>
      <c r="H25" s="25" t="str">
        <f t="shared" si="1"/>
        <v/>
      </c>
    </row>
    <row r="26" ht="33.75" customHeight="1">
      <c r="A26" s="30" t="s">
        <v>203</v>
      </c>
      <c r="B26" s="31"/>
      <c r="C26" s="31">
        <v>100.0</v>
      </c>
      <c r="D26" s="32">
        <f>B10</f>
        <v>0</v>
      </c>
      <c r="E26" s="33">
        <f>F10</f>
        <v>0</v>
      </c>
      <c r="F26" s="31"/>
      <c r="G26" s="31" t="str">
        <f>IF(ISNUMBER(B8),B8,"")</f>
        <v/>
      </c>
      <c r="H26" s="31"/>
    </row>
    <row r="27" ht="27.75" customHeight="1">
      <c r="A27" s="4"/>
      <c r="B27" s="1"/>
      <c r="C27" s="1"/>
      <c r="D27" s="1"/>
      <c r="E27" s="4"/>
      <c r="F27" s="1"/>
      <c r="G27" s="1"/>
      <c r="H27" s="1"/>
    </row>
    <row r="28" ht="27.75" customHeight="1">
      <c r="A28" s="4" t="s">
        <v>213</v>
      </c>
      <c r="B28" s="5" t="s">
        <v>214</v>
      </c>
      <c r="C28" s="1"/>
      <c r="D28" s="1"/>
      <c r="E28" s="4" t="s">
        <v>215</v>
      </c>
      <c r="F28" s="5" t="s">
        <v>25</v>
      </c>
      <c r="G28" s="5"/>
      <c r="H28" s="5"/>
    </row>
    <row r="29" ht="27.75" customHeight="1">
      <c r="A29" s="4" t="s">
        <v>218</v>
      </c>
      <c r="B29" s="1" t="str">
        <f>IF(OR(F9="不合格",F28="不合格"),"不合格",IF(F29="未評価","未評価",IF(F29="最低基準未達","不合格",IF(AND(F9="合格",F28="合格"),"合格","未検証"))))</f>
        <v>未評価</v>
      </c>
      <c r="C29" s="1"/>
      <c r="D29" s="1"/>
      <c r="E29" s="4" t="s">
        <v>224</v>
      </c>
      <c r="F29" s="1" t="str">
        <f t="array" ref="F29">IF(NOT(ISNUMBER(B8)),"未評価",IF(AND(B8&gt;=80,F17&gt;=4,F23&gt;=4,F15&gt;=3.5,F16&gt;=3.5,F18&gt;=3.5,F21&gt;=3.5,INDEX('採点入力'!$F$6:$F$65,MATCH("I1",'採点入力'!$A$6:$A$65,0))&gt;=4,MIN('採点入力'!G6:G65)&gt;=3),"最低基準達成","最低基準未達"))</f>
        <v>未評価</v>
      </c>
      <c r="G29" s="1"/>
      <c r="H29" s="1"/>
    </row>
    <row r="30" ht="27.75" customHeight="1">
      <c r="A30" s="4"/>
      <c r="B30" s="1"/>
      <c r="C30" s="1"/>
      <c r="D30" s="1"/>
      <c r="E30" s="4"/>
      <c r="F30" s="1"/>
      <c r="G30" s="1"/>
      <c r="H30" s="1"/>
    </row>
    <row r="31" ht="27.75" customHeight="1">
      <c r="A31" s="4" t="s">
        <v>235</v>
      </c>
      <c r="B31" s="1" t="str">
        <f>IF(NOT(ISNUMBER(B8)),"未評価",IF(B8&lt;90,"90点未満",IF(MIN(F14:F25)&lt;4,"カテゴリ最低基準未達",IF(B29="合格","トップ水準の推奨基準を満たす",IF(B29="不合格","受入不合格","審査待ち")))))</f>
        <v>未評価</v>
      </c>
      <c r="C31" s="1"/>
      <c r="D31" s="1"/>
      <c r="E31" s="4"/>
      <c r="F31" s="1"/>
      <c r="G31" s="1"/>
      <c r="H31" s="1"/>
    </row>
    <row r="32" ht="27.75" customHeight="1">
      <c r="A32" s="1"/>
      <c r="B32" s="1"/>
      <c r="C32" s="1"/>
      <c r="D32" s="1"/>
      <c r="E32" s="1"/>
      <c r="F32" s="1"/>
      <c r="G32" s="1"/>
      <c r="H32" s="1"/>
    </row>
    <row r="33" ht="27.75" customHeight="1">
      <c r="A33" s="8" t="s">
        <v>242</v>
      </c>
      <c r="B33" s="1"/>
      <c r="C33" s="1"/>
      <c r="D33" s="1"/>
      <c r="E33" s="1"/>
      <c r="F33" s="1"/>
      <c r="G33" s="1"/>
      <c r="H33" s="1"/>
    </row>
    <row r="34" ht="27.75" customHeight="1">
      <c r="A34" s="1"/>
      <c r="B34" s="1"/>
      <c r="C34" s="1"/>
      <c r="D34" s="1"/>
      <c r="E34" s="1"/>
      <c r="F34" s="1"/>
      <c r="G34" s="1"/>
      <c r="H34" s="1"/>
    </row>
    <row r="35" ht="27.75" customHeight="1">
      <c r="A35" s="8" t="s">
        <v>244</v>
      </c>
      <c r="B35" s="1"/>
      <c r="C35" s="1"/>
      <c r="D35" s="1"/>
      <c r="E35" s="1"/>
      <c r="F35" s="1"/>
      <c r="G35" s="1"/>
      <c r="H35" s="1"/>
    </row>
    <row r="36" ht="27.75" customHeight="1">
      <c r="A36" s="1"/>
      <c r="B36" s="1"/>
      <c r="C36" s="1"/>
      <c r="D36" s="1"/>
      <c r="E36" s="1"/>
      <c r="F36" s="1"/>
      <c r="G36" s="1"/>
      <c r="H36" s="1"/>
    </row>
    <row r="37" ht="27.75" customHeight="1">
      <c r="A37" s="8" t="s">
        <v>246</v>
      </c>
      <c r="B37" s="1"/>
      <c r="C37" s="1"/>
      <c r="D37" s="1"/>
      <c r="E37" s="1"/>
      <c r="F37" s="1"/>
      <c r="G37" s="1"/>
      <c r="H37" s="1"/>
    </row>
    <row r="38" ht="27.75" customHeight="1">
      <c r="A38" s="1"/>
      <c r="B38" s="1"/>
      <c r="C38" s="1"/>
      <c r="D38" s="1"/>
      <c r="E38" s="1"/>
      <c r="F38" s="1"/>
      <c r="G38" s="1"/>
      <c r="H38" s="1"/>
    </row>
    <row r="39" ht="27.75" customHeight="1">
      <c r="A39" s="8" t="s">
        <v>247</v>
      </c>
      <c r="B39" s="1"/>
      <c r="C39" s="1"/>
      <c r="D39" s="1"/>
      <c r="E39" s="1"/>
      <c r="F39" s="1"/>
      <c r="G39" s="1"/>
      <c r="H39" s="1"/>
    </row>
    <row r="40" ht="27.75" customHeight="1">
      <c r="A40" s="1"/>
      <c r="B40" s="1"/>
      <c r="C40" s="1"/>
      <c r="D40" s="1"/>
      <c r="E40" s="1"/>
      <c r="F40" s="1"/>
      <c r="G40" s="1"/>
      <c r="H40" s="1"/>
    </row>
    <row r="41" ht="27.75" customHeight="1">
      <c r="A41" s="4" t="s">
        <v>249</v>
      </c>
      <c r="B41" s="34" t="str">
        <f>IF(COUNT('採点入力'!R6:R65)=0,"",SUM('採点入力'!R6:R65))</f>
        <v/>
      </c>
      <c r="C41" s="1"/>
      <c r="D41" s="1"/>
      <c r="E41" s="4" t="s">
        <v>252</v>
      </c>
      <c r="F41" s="34" t="str">
        <f>IF(AND(ISNUMBER(B8),ISNUMBER(B41)),B8+B41,"")</f>
        <v/>
      </c>
      <c r="G41" s="1"/>
      <c r="H41" s="1"/>
    </row>
    <row r="42" ht="27.75" customHeight="1">
      <c r="A42" s="1"/>
      <c r="B42" s="1"/>
      <c r="C42" s="1"/>
      <c r="D42" s="1"/>
      <c r="E42" s="1"/>
      <c r="F42" s="1"/>
      <c r="G42" s="1"/>
      <c r="H42" s="1"/>
    </row>
    <row r="43" ht="27.75" customHeight="1">
      <c r="A43" s="8" t="s">
        <v>257</v>
      </c>
      <c r="B43" s="1"/>
      <c r="C43" s="1"/>
      <c r="D43" s="1"/>
      <c r="E43" s="1"/>
      <c r="F43" s="1"/>
      <c r="G43" s="1"/>
      <c r="H43" s="1"/>
    </row>
    <row r="44" ht="27.75" customHeight="1">
      <c r="A44" s="1"/>
      <c r="B44" s="1"/>
      <c r="C44" s="1"/>
      <c r="D44" s="1"/>
      <c r="E44" s="1"/>
      <c r="F44" s="1"/>
      <c r="G44" s="1"/>
      <c r="H44" s="1"/>
    </row>
    <row r="45" ht="27.75" customHeight="1">
      <c r="A45" s="1"/>
      <c r="B45" s="1"/>
      <c r="C45" s="1"/>
      <c r="D45" s="1"/>
      <c r="E45" s="1"/>
      <c r="F45" s="1"/>
      <c r="G45" s="1"/>
      <c r="H45" s="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4:F25">
    <cfRule type="expression" dxfId="4" priority="1">
      <formula>AND(ISNUMBER(F14),F14&lt;3)</formula>
    </cfRule>
  </conditionalFormatting>
  <dataValidations>
    <dataValidation type="list" allowBlank="1" sqref="B6">
      <formula1>"30,40,60"</formula1>
    </dataValidation>
    <dataValidation type="list" allowBlank="1" sqref="F9 F28">
      <formula1>"未検証,合格,不合格"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8.13"/>
    <col customWidth="1" min="2" max="2" width="27.5"/>
    <col customWidth="1" min="3" max="3" width="37.5"/>
    <col customWidth="1" min="4" max="4" width="14.38"/>
    <col customWidth="1" min="5" max="5" width="16.25"/>
    <col customWidth="1" min="6" max="6" width="16.88"/>
    <col customWidth="1" min="7" max="7" width="15.63"/>
    <col customWidth="1" min="8" max="8" width="14.38"/>
    <col customWidth="1" min="9" max="9" width="18.75"/>
    <col customWidth="1" min="10" max="11" width="41.25"/>
    <col customWidth="1" min="12" max="12" width="33.75"/>
    <col customWidth="1" min="13" max="13" width="48.75"/>
    <col customWidth="1" min="14" max="14" width="15.0"/>
    <col customWidth="1" min="15" max="15" width="15.63"/>
    <col customWidth="1" min="16" max="16" width="13.75"/>
    <col customWidth="1" min="17" max="18" width="15.0"/>
    <col customWidth="1" min="19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3.75" customHeight="1">
      <c r="A2" s="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2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7.75" customHeight="1">
      <c r="A4" s="8" t="s">
        <v>26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37.5" customHeight="1">
      <c r="A5" s="9" t="s">
        <v>14</v>
      </c>
      <c r="B5" s="9" t="s">
        <v>16</v>
      </c>
      <c r="C5" s="9" t="s">
        <v>18</v>
      </c>
      <c r="D5" s="9" t="s">
        <v>21</v>
      </c>
      <c r="E5" s="9" t="s">
        <v>43</v>
      </c>
      <c r="F5" s="9" t="s">
        <v>44</v>
      </c>
      <c r="G5" s="9" t="s">
        <v>47</v>
      </c>
      <c r="H5" s="9" t="s">
        <v>48</v>
      </c>
      <c r="I5" s="9" t="s">
        <v>50</v>
      </c>
      <c r="J5" s="9" t="s">
        <v>52</v>
      </c>
      <c r="K5" s="9" t="s">
        <v>54</v>
      </c>
      <c r="L5" s="9" t="s">
        <v>56</v>
      </c>
      <c r="M5" s="9" t="s">
        <v>61</v>
      </c>
      <c r="N5" s="9" t="s">
        <v>27</v>
      </c>
      <c r="O5" s="9" t="s">
        <v>66</v>
      </c>
      <c r="P5" s="9" t="s">
        <v>67</v>
      </c>
      <c r="Q5" s="9" t="s">
        <v>36</v>
      </c>
      <c r="R5" s="9" t="s">
        <v>69</v>
      </c>
    </row>
    <row r="6" ht="48.0" customHeight="1">
      <c r="A6" s="11" t="s">
        <v>39</v>
      </c>
      <c r="B6" s="11" t="s">
        <v>41</v>
      </c>
      <c r="C6" s="11" t="s">
        <v>42</v>
      </c>
      <c r="D6" s="22">
        <f t="array" ref="D6">INDEX('60項目の基準'!$D$6:$D$65,MATCH(A6,'60項目の基準'!$A$6:$A$65,0))</f>
        <v>1.2</v>
      </c>
      <c r="E6" s="23"/>
      <c r="F6" s="23"/>
      <c r="G6" s="22" t="str">
        <f>IF(P6=1,ROUND(E6*'使用方法'!$B$5+F6*'使用方法'!$B$6,6),"")</f>
        <v/>
      </c>
      <c r="H6" s="22" t="str">
        <f t="shared" ref="H6:H65" si="1">IF(P6=1,G6/5*D6,"")</f>
        <v/>
      </c>
      <c r="I6" s="14"/>
      <c r="J6" s="14"/>
      <c r="K6" s="14"/>
      <c r="L6" s="14"/>
      <c r="M6" s="14"/>
      <c r="N6" s="14"/>
      <c r="O6" s="28"/>
      <c r="P6" s="13">
        <f t="shared" ref="P6:P65" si="2">IF(COUNT(E6:F6)&lt;&gt;2,0,IF(AND(MIN(E6:F6)&gt;=0,MAX(E6:F6)&lt;=5),1,0))</f>
        <v>0</v>
      </c>
      <c r="Q6" s="13">
        <f t="shared" ref="Q6:Q65" si="3">IF(AND(I6="確認済み",J6&lt;&gt;"",K6&lt;&gt;"",L6&lt;&gt;""),1,0)</f>
        <v>0</v>
      </c>
      <c r="R6" s="22" t="str">
        <f t="shared" ref="R6:R65" si="4">IF(AND(P6=1,ISNUMBER(O6),O6&gt;=0,O6&lt;=5),(O6-G6)/5*D6,"")</f>
        <v/>
      </c>
    </row>
    <row r="7" ht="48.0" customHeight="1">
      <c r="A7" s="18" t="s">
        <v>65</v>
      </c>
      <c r="B7" s="18" t="s">
        <v>41</v>
      </c>
      <c r="C7" s="18" t="s">
        <v>68</v>
      </c>
      <c r="D7" s="29">
        <f t="array" ref="D7">INDEX('60項目の基準'!$D$6:$D$65,MATCH(A7,'60項目の基準'!$A$6:$A$65,0))</f>
        <v>1.2</v>
      </c>
      <c r="E7" s="23"/>
      <c r="F7" s="23"/>
      <c r="G7" s="22" t="str">
        <f>IF(P7=1,ROUND(E7*'使用方法'!$B$5+F7*'使用方法'!$B$6,6),"")</f>
        <v/>
      </c>
      <c r="H7" s="22" t="str">
        <f t="shared" si="1"/>
        <v/>
      </c>
      <c r="I7" s="14"/>
      <c r="J7" s="14"/>
      <c r="K7" s="14"/>
      <c r="L7" s="14"/>
      <c r="M7" s="14"/>
      <c r="N7" s="14"/>
      <c r="O7" s="28"/>
      <c r="P7" s="13">
        <f t="shared" si="2"/>
        <v>0</v>
      </c>
      <c r="Q7" s="13">
        <f t="shared" si="3"/>
        <v>0</v>
      </c>
      <c r="R7" s="22" t="str">
        <f t="shared" si="4"/>
        <v/>
      </c>
    </row>
    <row r="8" ht="48.0" customHeight="1">
      <c r="A8" s="11" t="s">
        <v>75</v>
      </c>
      <c r="B8" s="11" t="s">
        <v>41</v>
      </c>
      <c r="C8" s="11" t="s">
        <v>76</v>
      </c>
      <c r="D8" s="22">
        <f t="array" ref="D8">INDEX('60項目の基準'!$D$6:$D$65,MATCH(A8,'60項目の基準'!$A$6:$A$65,0))</f>
        <v>1.2</v>
      </c>
      <c r="E8" s="23"/>
      <c r="F8" s="23"/>
      <c r="G8" s="22" t="str">
        <f>IF(P8=1,ROUND(E8*'使用方法'!$B$5+F8*'使用方法'!$B$6,6),"")</f>
        <v/>
      </c>
      <c r="H8" s="22" t="str">
        <f t="shared" si="1"/>
        <v/>
      </c>
      <c r="I8" s="14"/>
      <c r="J8" s="14"/>
      <c r="K8" s="14"/>
      <c r="L8" s="14"/>
      <c r="M8" s="14"/>
      <c r="N8" s="14"/>
      <c r="O8" s="28"/>
      <c r="P8" s="13">
        <f t="shared" si="2"/>
        <v>0</v>
      </c>
      <c r="Q8" s="13">
        <f t="shared" si="3"/>
        <v>0</v>
      </c>
      <c r="R8" s="22" t="str">
        <f t="shared" si="4"/>
        <v/>
      </c>
    </row>
    <row r="9" ht="48.0" customHeight="1">
      <c r="A9" s="18" t="s">
        <v>82</v>
      </c>
      <c r="B9" s="18" t="s">
        <v>41</v>
      </c>
      <c r="C9" s="18" t="s">
        <v>83</v>
      </c>
      <c r="D9" s="29">
        <f t="array" ref="D9">INDEX('60項目の基準'!$D$6:$D$65,MATCH(A9,'60項目の基準'!$A$6:$A$65,0))</f>
        <v>1.2</v>
      </c>
      <c r="E9" s="23"/>
      <c r="F9" s="23"/>
      <c r="G9" s="22" t="str">
        <f>IF(P9=1,ROUND(E9*'使用方法'!$B$5+F9*'使用方法'!$B$6,6),"")</f>
        <v/>
      </c>
      <c r="H9" s="22" t="str">
        <f t="shared" si="1"/>
        <v/>
      </c>
      <c r="I9" s="14"/>
      <c r="J9" s="14"/>
      <c r="K9" s="14"/>
      <c r="L9" s="14"/>
      <c r="M9" s="14"/>
      <c r="N9" s="14"/>
      <c r="O9" s="28"/>
      <c r="P9" s="13">
        <f t="shared" si="2"/>
        <v>0</v>
      </c>
      <c r="Q9" s="13">
        <f t="shared" si="3"/>
        <v>0</v>
      </c>
      <c r="R9" s="22" t="str">
        <f t="shared" si="4"/>
        <v/>
      </c>
    </row>
    <row r="10" ht="48.0" customHeight="1">
      <c r="A10" s="11" t="s">
        <v>91</v>
      </c>
      <c r="B10" s="11" t="s">
        <v>41</v>
      </c>
      <c r="C10" s="11" t="s">
        <v>92</v>
      </c>
      <c r="D10" s="22">
        <f t="array" ref="D10">INDEX('60項目の基準'!$D$6:$D$65,MATCH(A10,'60項目の基準'!$A$6:$A$65,0))</f>
        <v>1.2</v>
      </c>
      <c r="E10" s="23"/>
      <c r="F10" s="23"/>
      <c r="G10" s="22" t="str">
        <f>IF(P10=1,ROUND(E10*'使用方法'!$B$5+F10*'使用方法'!$B$6,6),"")</f>
        <v/>
      </c>
      <c r="H10" s="22" t="str">
        <f t="shared" si="1"/>
        <v/>
      </c>
      <c r="I10" s="14"/>
      <c r="J10" s="14"/>
      <c r="K10" s="14"/>
      <c r="L10" s="14"/>
      <c r="M10" s="14"/>
      <c r="N10" s="14"/>
      <c r="O10" s="28"/>
      <c r="P10" s="13">
        <f t="shared" si="2"/>
        <v>0</v>
      </c>
      <c r="Q10" s="13">
        <f t="shared" si="3"/>
        <v>0</v>
      </c>
      <c r="R10" s="22" t="str">
        <f t="shared" si="4"/>
        <v/>
      </c>
    </row>
    <row r="11" ht="48.0" customHeight="1">
      <c r="A11" s="18" t="s">
        <v>100</v>
      </c>
      <c r="B11" s="18" t="s">
        <v>85</v>
      </c>
      <c r="C11" s="18" t="s">
        <v>101</v>
      </c>
      <c r="D11" s="29">
        <f t="array" ref="D11">INDEX('60項目の基準'!$D$6:$D$65,MATCH(A11,'60項目の基準'!$A$6:$A$65,0))</f>
        <v>2.4</v>
      </c>
      <c r="E11" s="23"/>
      <c r="F11" s="23"/>
      <c r="G11" s="22" t="str">
        <f>IF(P11=1,ROUND(E11*'使用方法'!$B$5+F11*'使用方法'!$B$6,6),"")</f>
        <v/>
      </c>
      <c r="H11" s="22" t="str">
        <f t="shared" si="1"/>
        <v/>
      </c>
      <c r="I11" s="14"/>
      <c r="J11" s="14"/>
      <c r="K11" s="14"/>
      <c r="L11" s="14"/>
      <c r="M11" s="14"/>
      <c r="N11" s="14"/>
      <c r="O11" s="28"/>
      <c r="P11" s="13">
        <f t="shared" si="2"/>
        <v>0</v>
      </c>
      <c r="Q11" s="13">
        <f t="shared" si="3"/>
        <v>0</v>
      </c>
      <c r="R11" s="22" t="str">
        <f t="shared" si="4"/>
        <v/>
      </c>
    </row>
    <row r="12" ht="48.0" customHeight="1">
      <c r="A12" s="11" t="s">
        <v>107</v>
      </c>
      <c r="B12" s="11" t="s">
        <v>85</v>
      </c>
      <c r="C12" s="11" t="s">
        <v>110</v>
      </c>
      <c r="D12" s="22">
        <f t="array" ref="D12">INDEX('60項目の基準'!$D$6:$D$65,MATCH(A12,'60項目の基準'!$A$6:$A$65,0))</f>
        <v>2.4</v>
      </c>
      <c r="E12" s="23"/>
      <c r="F12" s="23"/>
      <c r="G12" s="22" t="str">
        <f>IF(P12=1,ROUND(E12*'使用方法'!$B$5+F12*'使用方法'!$B$6,6),"")</f>
        <v/>
      </c>
      <c r="H12" s="22" t="str">
        <f t="shared" si="1"/>
        <v/>
      </c>
      <c r="I12" s="14"/>
      <c r="J12" s="14"/>
      <c r="K12" s="14"/>
      <c r="L12" s="14"/>
      <c r="M12" s="14"/>
      <c r="N12" s="14"/>
      <c r="O12" s="28"/>
      <c r="P12" s="13">
        <f t="shared" si="2"/>
        <v>0</v>
      </c>
      <c r="Q12" s="13">
        <f t="shared" si="3"/>
        <v>0</v>
      </c>
      <c r="R12" s="22" t="str">
        <f t="shared" si="4"/>
        <v/>
      </c>
    </row>
    <row r="13" ht="48.0" customHeight="1">
      <c r="A13" s="18" t="s">
        <v>116</v>
      </c>
      <c r="B13" s="18" t="s">
        <v>85</v>
      </c>
      <c r="C13" s="18" t="s">
        <v>117</v>
      </c>
      <c r="D13" s="29">
        <f t="array" ref="D13">INDEX('60項目の基準'!$D$6:$D$65,MATCH(A13,'60項目の基準'!$A$6:$A$65,0))</f>
        <v>2.4</v>
      </c>
      <c r="E13" s="23"/>
      <c r="F13" s="23"/>
      <c r="G13" s="22" t="str">
        <f>IF(P13=1,ROUND(E13*'使用方法'!$B$5+F13*'使用方法'!$B$6,6),"")</f>
        <v/>
      </c>
      <c r="H13" s="22" t="str">
        <f t="shared" si="1"/>
        <v/>
      </c>
      <c r="I13" s="14"/>
      <c r="J13" s="14"/>
      <c r="K13" s="14"/>
      <c r="L13" s="14"/>
      <c r="M13" s="14"/>
      <c r="N13" s="14"/>
      <c r="O13" s="28"/>
      <c r="P13" s="13">
        <f t="shared" si="2"/>
        <v>0</v>
      </c>
      <c r="Q13" s="13">
        <f t="shared" si="3"/>
        <v>0</v>
      </c>
      <c r="R13" s="22" t="str">
        <f t="shared" si="4"/>
        <v/>
      </c>
    </row>
    <row r="14" ht="48.0" customHeight="1">
      <c r="A14" s="11" t="s">
        <v>125</v>
      </c>
      <c r="B14" s="11" t="s">
        <v>85</v>
      </c>
      <c r="C14" s="11" t="s">
        <v>126</v>
      </c>
      <c r="D14" s="22">
        <f t="array" ref="D14">INDEX('60項目の基準'!$D$6:$D$65,MATCH(A14,'60項目の基準'!$A$6:$A$65,0))</f>
        <v>2.4</v>
      </c>
      <c r="E14" s="23"/>
      <c r="F14" s="23"/>
      <c r="G14" s="22" t="str">
        <f>IF(P14=1,ROUND(E14*'使用方法'!$B$5+F14*'使用方法'!$B$6,6),"")</f>
        <v/>
      </c>
      <c r="H14" s="22" t="str">
        <f t="shared" si="1"/>
        <v/>
      </c>
      <c r="I14" s="14"/>
      <c r="J14" s="14"/>
      <c r="K14" s="14"/>
      <c r="L14" s="14"/>
      <c r="M14" s="14"/>
      <c r="N14" s="14"/>
      <c r="O14" s="28"/>
      <c r="P14" s="13">
        <f t="shared" si="2"/>
        <v>0</v>
      </c>
      <c r="Q14" s="13">
        <f t="shared" si="3"/>
        <v>0</v>
      </c>
      <c r="R14" s="22" t="str">
        <f t="shared" si="4"/>
        <v/>
      </c>
    </row>
    <row r="15" ht="48.0" customHeight="1">
      <c r="A15" s="18" t="s">
        <v>134</v>
      </c>
      <c r="B15" s="18" t="s">
        <v>85</v>
      </c>
      <c r="C15" s="18" t="s">
        <v>135</v>
      </c>
      <c r="D15" s="29">
        <f t="array" ref="D15">INDEX('60項目の基準'!$D$6:$D$65,MATCH(A15,'60項目の基準'!$A$6:$A$65,0))</f>
        <v>2.4</v>
      </c>
      <c r="E15" s="23"/>
      <c r="F15" s="23"/>
      <c r="G15" s="22" t="str">
        <f>IF(P15=1,ROUND(E15*'使用方法'!$B$5+F15*'使用方法'!$B$6,6),"")</f>
        <v/>
      </c>
      <c r="H15" s="22" t="str">
        <f t="shared" si="1"/>
        <v/>
      </c>
      <c r="I15" s="14"/>
      <c r="J15" s="14"/>
      <c r="K15" s="14"/>
      <c r="L15" s="14"/>
      <c r="M15" s="14"/>
      <c r="N15" s="14"/>
      <c r="O15" s="28"/>
      <c r="P15" s="13">
        <f t="shared" si="2"/>
        <v>0</v>
      </c>
      <c r="Q15" s="13">
        <f t="shared" si="3"/>
        <v>0</v>
      </c>
      <c r="R15" s="22" t="str">
        <f t="shared" si="4"/>
        <v/>
      </c>
    </row>
    <row r="16" ht="48.0" customHeight="1">
      <c r="A16" s="11" t="s">
        <v>143</v>
      </c>
      <c r="B16" s="11" t="s">
        <v>99</v>
      </c>
      <c r="C16" s="11" t="s">
        <v>144</v>
      </c>
      <c r="D16" s="22">
        <f t="array" ref="D16">INDEX('60項目の基準'!$D$6:$D$65,MATCH(A16,'60項目の基準'!$A$6:$A$65,0))</f>
        <v>2</v>
      </c>
      <c r="E16" s="23"/>
      <c r="F16" s="23"/>
      <c r="G16" s="22" t="str">
        <f>IF(P16=1,ROUND(E16*'使用方法'!$B$5+F16*'使用方法'!$B$6,6),"")</f>
        <v/>
      </c>
      <c r="H16" s="22" t="str">
        <f t="shared" si="1"/>
        <v/>
      </c>
      <c r="I16" s="14"/>
      <c r="J16" s="14"/>
      <c r="K16" s="14"/>
      <c r="L16" s="14"/>
      <c r="M16" s="14"/>
      <c r="N16" s="14"/>
      <c r="O16" s="28"/>
      <c r="P16" s="13">
        <f t="shared" si="2"/>
        <v>0</v>
      </c>
      <c r="Q16" s="13">
        <f t="shared" si="3"/>
        <v>0</v>
      </c>
      <c r="R16" s="22" t="str">
        <f t="shared" si="4"/>
        <v/>
      </c>
    </row>
    <row r="17" ht="48.0" customHeight="1">
      <c r="A17" s="18" t="s">
        <v>150</v>
      </c>
      <c r="B17" s="18" t="s">
        <v>99</v>
      </c>
      <c r="C17" s="18" t="s">
        <v>153</v>
      </c>
      <c r="D17" s="29">
        <f t="array" ref="D17">INDEX('60項目の基準'!$D$6:$D$65,MATCH(A17,'60項目の基準'!$A$6:$A$65,0))</f>
        <v>2</v>
      </c>
      <c r="E17" s="23"/>
      <c r="F17" s="23"/>
      <c r="G17" s="22" t="str">
        <f>IF(P17=1,ROUND(E17*'使用方法'!$B$5+F17*'使用方法'!$B$6,6),"")</f>
        <v/>
      </c>
      <c r="H17" s="22" t="str">
        <f t="shared" si="1"/>
        <v/>
      </c>
      <c r="I17" s="14"/>
      <c r="J17" s="14"/>
      <c r="K17" s="14"/>
      <c r="L17" s="14"/>
      <c r="M17" s="14"/>
      <c r="N17" s="14"/>
      <c r="O17" s="28"/>
      <c r="P17" s="13">
        <f t="shared" si="2"/>
        <v>0</v>
      </c>
      <c r="Q17" s="13">
        <f t="shared" si="3"/>
        <v>0</v>
      </c>
      <c r="R17" s="22" t="str">
        <f t="shared" si="4"/>
        <v/>
      </c>
    </row>
    <row r="18" ht="48.0" customHeight="1">
      <c r="A18" s="11" t="s">
        <v>159</v>
      </c>
      <c r="B18" s="11" t="s">
        <v>99</v>
      </c>
      <c r="C18" s="11" t="s">
        <v>160</v>
      </c>
      <c r="D18" s="22">
        <f t="array" ref="D18">INDEX('60項目の基準'!$D$6:$D$65,MATCH(A18,'60項目の基準'!$A$6:$A$65,0))</f>
        <v>2</v>
      </c>
      <c r="E18" s="23"/>
      <c r="F18" s="23"/>
      <c r="G18" s="22" t="str">
        <f>IF(P18=1,ROUND(E18*'使用方法'!$B$5+F18*'使用方法'!$B$6,6),"")</f>
        <v/>
      </c>
      <c r="H18" s="22" t="str">
        <f t="shared" si="1"/>
        <v/>
      </c>
      <c r="I18" s="14"/>
      <c r="J18" s="14"/>
      <c r="K18" s="14"/>
      <c r="L18" s="14"/>
      <c r="M18" s="14"/>
      <c r="N18" s="14"/>
      <c r="O18" s="28"/>
      <c r="P18" s="13">
        <f t="shared" si="2"/>
        <v>0</v>
      </c>
      <c r="Q18" s="13">
        <f t="shared" si="3"/>
        <v>0</v>
      </c>
      <c r="R18" s="22" t="str">
        <f t="shared" si="4"/>
        <v/>
      </c>
    </row>
    <row r="19" ht="48.0" customHeight="1">
      <c r="A19" s="18" t="s">
        <v>168</v>
      </c>
      <c r="B19" s="18" t="s">
        <v>99</v>
      </c>
      <c r="C19" s="18" t="s">
        <v>169</v>
      </c>
      <c r="D19" s="29">
        <f t="array" ref="D19">INDEX('60項目の基準'!$D$6:$D$65,MATCH(A19,'60項目の基準'!$A$6:$A$65,0))</f>
        <v>2</v>
      </c>
      <c r="E19" s="23"/>
      <c r="F19" s="23"/>
      <c r="G19" s="22" t="str">
        <f>IF(P19=1,ROUND(E19*'使用方法'!$B$5+F19*'使用方法'!$B$6,6),"")</f>
        <v/>
      </c>
      <c r="H19" s="22" t="str">
        <f t="shared" si="1"/>
        <v/>
      </c>
      <c r="I19" s="14"/>
      <c r="J19" s="14"/>
      <c r="K19" s="14"/>
      <c r="L19" s="14"/>
      <c r="M19" s="14"/>
      <c r="N19" s="14"/>
      <c r="O19" s="28"/>
      <c r="P19" s="13">
        <f t="shared" si="2"/>
        <v>0</v>
      </c>
      <c r="Q19" s="13">
        <f t="shared" si="3"/>
        <v>0</v>
      </c>
      <c r="R19" s="22" t="str">
        <f t="shared" si="4"/>
        <v/>
      </c>
    </row>
    <row r="20" ht="48.0" customHeight="1">
      <c r="A20" s="11" t="s">
        <v>177</v>
      </c>
      <c r="B20" s="11" t="s">
        <v>99</v>
      </c>
      <c r="C20" s="11" t="s">
        <v>178</v>
      </c>
      <c r="D20" s="22">
        <f t="array" ref="D20">INDEX('60項目の基準'!$D$6:$D$65,MATCH(A20,'60項目の基準'!$A$6:$A$65,0))</f>
        <v>2</v>
      </c>
      <c r="E20" s="23"/>
      <c r="F20" s="23"/>
      <c r="G20" s="22" t="str">
        <f>IF(P20=1,ROUND(E20*'使用方法'!$B$5+F20*'使用方法'!$B$6,6),"")</f>
        <v/>
      </c>
      <c r="H20" s="22" t="str">
        <f t="shared" si="1"/>
        <v/>
      </c>
      <c r="I20" s="14"/>
      <c r="J20" s="14"/>
      <c r="K20" s="14"/>
      <c r="L20" s="14"/>
      <c r="M20" s="14"/>
      <c r="N20" s="14"/>
      <c r="O20" s="28"/>
      <c r="P20" s="13">
        <f t="shared" si="2"/>
        <v>0</v>
      </c>
      <c r="Q20" s="13">
        <f t="shared" si="3"/>
        <v>0</v>
      </c>
      <c r="R20" s="22" t="str">
        <f t="shared" si="4"/>
        <v/>
      </c>
    </row>
    <row r="21" ht="48.0" customHeight="1">
      <c r="A21" s="18" t="s">
        <v>186</v>
      </c>
      <c r="B21" s="18" t="s">
        <v>109</v>
      </c>
      <c r="C21" s="18" t="s">
        <v>187</v>
      </c>
      <c r="D21" s="29">
        <f t="array" ref="D21">INDEX('60項目の基準'!$D$6:$D$65,MATCH(A21,'60項目の基準'!$A$6:$A$65,0))</f>
        <v>2.8</v>
      </c>
      <c r="E21" s="23"/>
      <c r="F21" s="23"/>
      <c r="G21" s="22" t="str">
        <f>IF(P21=1,ROUND(E21*'使用方法'!$B$5+F21*'使用方法'!$B$6,6),"")</f>
        <v/>
      </c>
      <c r="H21" s="22" t="str">
        <f t="shared" si="1"/>
        <v/>
      </c>
      <c r="I21" s="14"/>
      <c r="J21" s="14"/>
      <c r="K21" s="14"/>
      <c r="L21" s="14"/>
      <c r="M21" s="14"/>
      <c r="N21" s="14"/>
      <c r="O21" s="28"/>
      <c r="P21" s="13">
        <f t="shared" si="2"/>
        <v>0</v>
      </c>
      <c r="Q21" s="13">
        <f t="shared" si="3"/>
        <v>0</v>
      </c>
      <c r="R21" s="22" t="str">
        <f t="shared" si="4"/>
        <v/>
      </c>
    </row>
    <row r="22" ht="48.0" customHeight="1">
      <c r="A22" s="11" t="s">
        <v>195</v>
      </c>
      <c r="B22" s="11" t="s">
        <v>109</v>
      </c>
      <c r="C22" s="11" t="s">
        <v>196</v>
      </c>
      <c r="D22" s="22">
        <f t="array" ref="D22">INDEX('60項目の基準'!$D$6:$D$65,MATCH(A22,'60項目の基準'!$A$6:$A$65,0))</f>
        <v>2.8</v>
      </c>
      <c r="E22" s="23"/>
      <c r="F22" s="23"/>
      <c r="G22" s="22" t="str">
        <f>IF(P22=1,ROUND(E22*'使用方法'!$B$5+F22*'使用方法'!$B$6,6),"")</f>
        <v/>
      </c>
      <c r="H22" s="22" t="str">
        <f t="shared" si="1"/>
        <v/>
      </c>
      <c r="I22" s="14"/>
      <c r="J22" s="14"/>
      <c r="K22" s="14"/>
      <c r="L22" s="14"/>
      <c r="M22" s="14"/>
      <c r="N22" s="14"/>
      <c r="O22" s="28"/>
      <c r="P22" s="13">
        <f t="shared" si="2"/>
        <v>0</v>
      </c>
      <c r="Q22" s="13">
        <f t="shared" si="3"/>
        <v>0</v>
      </c>
      <c r="R22" s="22" t="str">
        <f t="shared" si="4"/>
        <v/>
      </c>
    </row>
    <row r="23" ht="48.0" customHeight="1">
      <c r="A23" s="18" t="s">
        <v>202</v>
      </c>
      <c r="B23" s="18" t="s">
        <v>109</v>
      </c>
      <c r="C23" s="18" t="s">
        <v>204</v>
      </c>
      <c r="D23" s="29">
        <f t="array" ref="D23">INDEX('60項目の基準'!$D$6:$D$65,MATCH(A23,'60項目の基準'!$A$6:$A$65,0))</f>
        <v>2.8</v>
      </c>
      <c r="E23" s="23"/>
      <c r="F23" s="23"/>
      <c r="G23" s="22" t="str">
        <f>IF(P23=1,ROUND(E23*'使用方法'!$B$5+F23*'使用方法'!$B$6,6),"")</f>
        <v/>
      </c>
      <c r="H23" s="22" t="str">
        <f t="shared" si="1"/>
        <v/>
      </c>
      <c r="I23" s="14"/>
      <c r="J23" s="14"/>
      <c r="K23" s="14"/>
      <c r="L23" s="14"/>
      <c r="M23" s="14"/>
      <c r="N23" s="14"/>
      <c r="O23" s="28"/>
      <c r="P23" s="13">
        <f t="shared" si="2"/>
        <v>0</v>
      </c>
      <c r="Q23" s="13">
        <f t="shared" si="3"/>
        <v>0</v>
      </c>
      <c r="R23" s="22" t="str">
        <f t="shared" si="4"/>
        <v/>
      </c>
    </row>
    <row r="24" ht="48.0" customHeight="1">
      <c r="A24" s="11" t="s">
        <v>210</v>
      </c>
      <c r="B24" s="11" t="s">
        <v>109</v>
      </c>
      <c r="C24" s="11" t="s">
        <v>211</v>
      </c>
      <c r="D24" s="22">
        <f t="array" ref="D24">INDEX('60項目の基準'!$D$6:$D$65,MATCH(A24,'60項目の基準'!$A$6:$A$65,0))</f>
        <v>2.8</v>
      </c>
      <c r="E24" s="23"/>
      <c r="F24" s="23"/>
      <c r="G24" s="22" t="str">
        <f>IF(P24=1,ROUND(E24*'使用方法'!$B$5+F24*'使用方法'!$B$6,6),"")</f>
        <v/>
      </c>
      <c r="H24" s="22" t="str">
        <f t="shared" si="1"/>
        <v/>
      </c>
      <c r="I24" s="14"/>
      <c r="J24" s="14"/>
      <c r="K24" s="14"/>
      <c r="L24" s="14"/>
      <c r="M24" s="14"/>
      <c r="N24" s="14"/>
      <c r="O24" s="28"/>
      <c r="P24" s="13">
        <f t="shared" si="2"/>
        <v>0</v>
      </c>
      <c r="Q24" s="13">
        <f t="shared" si="3"/>
        <v>0</v>
      </c>
      <c r="R24" s="22" t="str">
        <f t="shared" si="4"/>
        <v/>
      </c>
    </row>
    <row r="25" ht="48.0" customHeight="1">
      <c r="A25" s="18" t="s">
        <v>221</v>
      </c>
      <c r="B25" s="18" t="s">
        <v>109</v>
      </c>
      <c r="C25" s="18" t="s">
        <v>222</v>
      </c>
      <c r="D25" s="29">
        <f t="array" ref="D25">INDEX('60項目の基準'!$D$6:$D$65,MATCH(A25,'60項目の基準'!$A$6:$A$65,0))</f>
        <v>2.8</v>
      </c>
      <c r="E25" s="23"/>
      <c r="F25" s="23"/>
      <c r="G25" s="22" t="str">
        <f>IF(P25=1,ROUND(E25*'使用方法'!$B$5+F25*'使用方法'!$B$6,6),"")</f>
        <v/>
      </c>
      <c r="H25" s="22" t="str">
        <f t="shared" si="1"/>
        <v/>
      </c>
      <c r="I25" s="14"/>
      <c r="J25" s="14"/>
      <c r="K25" s="14"/>
      <c r="L25" s="14"/>
      <c r="M25" s="14"/>
      <c r="N25" s="14"/>
      <c r="O25" s="28"/>
      <c r="P25" s="13">
        <f t="shared" si="2"/>
        <v>0</v>
      </c>
      <c r="Q25" s="13">
        <f t="shared" si="3"/>
        <v>0</v>
      </c>
      <c r="R25" s="22" t="str">
        <f t="shared" si="4"/>
        <v/>
      </c>
    </row>
    <row r="26" ht="48.0" customHeight="1">
      <c r="A26" s="11" t="s">
        <v>229</v>
      </c>
      <c r="B26" s="11" t="s">
        <v>120</v>
      </c>
      <c r="C26" s="11" t="s">
        <v>230</v>
      </c>
      <c r="D26" s="22">
        <f t="array" ref="D26">INDEX('60項目の基準'!$D$6:$D$65,MATCH(A26,'60項目の基準'!$A$6:$A$65,0))</f>
        <v>1.6</v>
      </c>
      <c r="E26" s="23"/>
      <c r="F26" s="23"/>
      <c r="G26" s="22" t="str">
        <f>IF(P26=1,ROUND(E26*'使用方法'!$B$5+F26*'使用方法'!$B$6,6),"")</f>
        <v/>
      </c>
      <c r="H26" s="22" t="str">
        <f t="shared" si="1"/>
        <v/>
      </c>
      <c r="I26" s="14"/>
      <c r="J26" s="14"/>
      <c r="K26" s="14"/>
      <c r="L26" s="14"/>
      <c r="M26" s="14"/>
      <c r="N26" s="14"/>
      <c r="O26" s="28"/>
      <c r="P26" s="13">
        <f t="shared" si="2"/>
        <v>0</v>
      </c>
      <c r="Q26" s="13">
        <f t="shared" si="3"/>
        <v>0</v>
      </c>
      <c r="R26" s="22" t="str">
        <f t="shared" si="4"/>
        <v/>
      </c>
    </row>
    <row r="27" ht="48.0" customHeight="1">
      <c r="A27" s="18" t="s">
        <v>237</v>
      </c>
      <c r="B27" s="18" t="s">
        <v>120</v>
      </c>
      <c r="C27" s="18" t="s">
        <v>238</v>
      </c>
      <c r="D27" s="29">
        <f t="array" ref="D27">INDEX('60項目の基準'!$D$6:$D$65,MATCH(A27,'60項目の基準'!$A$6:$A$65,0))</f>
        <v>1.6</v>
      </c>
      <c r="E27" s="23"/>
      <c r="F27" s="23"/>
      <c r="G27" s="22" t="str">
        <f>IF(P27=1,ROUND(E27*'使用方法'!$B$5+F27*'使用方法'!$B$6,6),"")</f>
        <v/>
      </c>
      <c r="H27" s="22" t="str">
        <f t="shared" si="1"/>
        <v/>
      </c>
      <c r="I27" s="14"/>
      <c r="J27" s="14"/>
      <c r="K27" s="14"/>
      <c r="L27" s="14"/>
      <c r="M27" s="14"/>
      <c r="N27" s="14"/>
      <c r="O27" s="28"/>
      <c r="P27" s="13">
        <f t="shared" si="2"/>
        <v>0</v>
      </c>
      <c r="Q27" s="13">
        <f t="shared" si="3"/>
        <v>0</v>
      </c>
      <c r="R27" s="22" t="str">
        <f t="shared" si="4"/>
        <v/>
      </c>
    </row>
    <row r="28" ht="48.0" customHeight="1">
      <c r="A28" s="11" t="s">
        <v>248</v>
      </c>
      <c r="B28" s="11" t="s">
        <v>120</v>
      </c>
      <c r="C28" s="11" t="s">
        <v>250</v>
      </c>
      <c r="D28" s="22">
        <f t="array" ref="D28">INDEX('60項目の基準'!$D$6:$D$65,MATCH(A28,'60項目の基準'!$A$6:$A$65,0))</f>
        <v>1.6</v>
      </c>
      <c r="E28" s="23"/>
      <c r="F28" s="23"/>
      <c r="G28" s="22" t="str">
        <f>IF(P28=1,ROUND(E28*'使用方法'!$B$5+F28*'使用方法'!$B$6,6),"")</f>
        <v/>
      </c>
      <c r="H28" s="22" t="str">
        <f t="shared" si="1"/>
        <v/>
      </c>
      <c r="I28" s="14"/>
      <c r="J28" s="14"/>
      <c r="K28" s="14"/>
      <c r="L28" s="14"/>
      <c r="M28" s="14"/>
      <c r="N28" s="14"/>
      <c r="O28" s="28"/>
      <c r="P28" s="13">
        <f t="shared" si="2"/>
        <v>0</v>
      </c>
      <c r="Q28" s="13">
        <f t="shared" si="3"/>
        <v>0</v>
      </c>
      <c r="R28" s="22" t="str">
        <f t="shared" si="4"/>
        <v/>
      </c>
    </row>
    <row r="29" ht="48.0" customHeight="1">
      <c r="A29" s="18" t="s">
        <v>258</v>
      </c>
      <c r="B29" s="18" t="s">
        <v>120</v>
      </c>
      <c r="C29" s="18" t="s">
        <v>259</v>
      </c>
      <c r="D29" s="29">
        <f t="array" ref="D29">INDEX('60項目の基準'!$D$6:$D$65,MATCH(A29,'60項目の基準'!$A$6:$A$65,0))</f>
        <v>1.6</v>
      </c>
      <c r="E29" s="23"/>
      <c r="F29" s="23"/>
      <c r="G29" s="22" t="str">
        <f>IF(P29=1,ROUND(E29*'使用方法'!$B$5+F29*'使用方法'!$B$6,6),"")</f>
        <v/>
      </c>
      <c r="H29" s="22" t="str">
        <f t="shared" si="1"/>
        <v/>
      </c>
      <c r="I29" s="14"/>
      <c r="J29" s="14"/>
      <c r="K29" s="14"/>
      <c r="L29" s="14"/>
      <c r="M29" s="14"/>
      <c r="N29" s="14"/>
      <c r="O29" s="28"/>
      <c r="P29" s="13">
        <f t="shared" si="2"/>
        <v>0</v>
      </c>
      <c r="Q29" s="13">
        <f t="shared" si="3"/>
        <v>0</v>
      </c>
      <c r="R29" s="22" t="str">
        <f t="shared" si="4"/>
        <v/>
      </c>
    </row>
    <row r="30" ht="48.0" customHeight="1">
      <c r="A30" s="11" t="s">
        <v>267</v>
      </c>
      <c r="B30" s="11" t="s">
        <v>120</v>
      </c>
      <c r="C30" s="11" t="s">
        <v>269</v>
      </c>
      <c r="D30" s="22">
        <f t="array" ref="D30">INDEX('60項目の基準'!$D$6:$D$65,MATCH(A30,'60項目の基準'!$A$6:$A$65,0))</f>
        <v>1.6</v>
      </c>
      <c r="E30" s="23"/>
      <c r="F30" s="23"/>
      <c r="G30" s="22" t="str">
        <f>IF(P30=1,ROUND(E30*'使用方法'!$B$5+F30*'使用方法'!$B$6,6),"")</f>
        <v/>
      </c>
      <c r="H30" s="22" t="str">
        <f t="shared" si="1"/>
        <v/>
      </c>
      <c r="I30" s="14"/>
      <c r="J30" s="14"/>
      <c r="K30" s="14"/>
      <c r="L30" s="14"/>
      <c r="M30" s="14"/>
      <c r="N30" s="14"/>
      <c r="O30" s="28"/>
      <c r="P30" s="13">
        <f t="shared" si="2"/>
        <v>0</v>
      </c>
      <c r="Q30" s="13">
        <f t="shared" si="3"/>
        <v>0</v>
      </c>
      <c r="R30" s="22" t="str">
        <f t="shared" si="4"/>
        <v/>
      </c>
    </row>
    <row r="31" ht="48.0" customHeight="1">
      <c r="A31" s="18" t="s">
        <v>275</v>
      </c>
      <c r="B31" s="18" t="s">
        <v>133</v>
      </c>
      <c r="C31" s="18" t="s">
        <v>276</v>
      </c>
      <c r="D31" s="29">
        <f t="array" ref="D31">INDEX('60項目の基準'!$D$6:$D$65,MATCH(A31,'60項目の基準'!$A$6:$A$65,0))</f>
        <v>1.2</v>
      </c>
      <c r="E31" s="23"/>
      <c r="F31" s="23"/>
      <c r="G31" s="22" t="str">
        <f>IF(P31=1,ROUND(E31*'使用方法'!$B$5+F31*'使用方法'!$B$6,6),"")</f>
        <v/>
      </c>
      <c r="H31" s="22" t="str">
        <f t="shared" si="1"/>
        <v/>
      </c>
      <c r="I31" s="14"/>
      <c r="J31" s="14"/>
      <c r="K31" s="14"/>
      <c r="L31" s="14"/>
      <c r="M31" s="14"/>
      <c r="N31" s="14"/>
      <c r="O31" s="28"/>
      <c r="P31" s="13">
        <f t="shared" si="2"/>
        <v>0</v>
      </c>
      <c r="Q31" s="13">
        <f t="shared" si="3"/>
        <v>0</v>
      </c>
      <c r="R31" s="22" t="str">
        <f t="shared" si="4"/>
        <v/>
      </c>
    </row>
    <row r="32" ht="48.0" customHeight="1">
      <c r="A32" s="11" t="s">
        <v>282</v>
      </c>
      <c r="B32" s="11" t="s">
        <v>133</v>
      </c>
      <c r="C32" s="11" t="s">
        <v>283</v>
      </c>
      <c r="D32" s="22">
        <f t="array" ref="D32">INDEX('60項目の基準'!$D$6:$D$65,MATCH(A32,'60項目の基準'!$A$6:$A$65,0))</f>
        <v>1.2</v>
      </c>
      <c r="E32" s="23"/>
      <c r="F32" s="23"/>
      <c r="G32" s="22" t="str">
        <f>IF(P32=1,ROUND(E32*'使用方法'!$B$5+F32*'使用方法'!$B$6,6),"")</f>
        <v/>
      </c>
      <c r="H32" s="22" t="str">
        <f t="shared" si="1"/>
        <v/>
      </c>
      <c r="I32" s="14"/>
      <c r="J32" s="14"/>
      <c r="K32" s="14"/>
      <c r="L32" s="14"/>
      <c r="M32" s="14"/>
      <c r="N32" s="14"/>
      <c r="O32" s="28"/>
      <c r="P32" s="13">
        <f t="shared" si="2"/>
        <v>0</v>
      </c>
      <c r="Q32" s="13">
        <f t="shared" si="3"/>
        <v>0</v>
      </c>
      <c r="R32" s="22" t="str">
        <f t="shared" si="4"/>
        <v/>
      </c>
    </row>
    <row r="33" ht="48.0" customHeight="1">
      <c r="A33" s="18" t="s">
        <v>289</v>
      </c>
      <c r="B33" s="18" t="s">
        <v>133</v>
      </c>
      <c r="C33" s="18" t="s">
        <v>292</v>
      </c>
      <c r="D33" s="29">
        <f t="array" ref="D33">INDEX('60項目の基準'!$D$6:$D$65,MATCH(A33,'60項目の基準'!$A$6:$A$65,0))</f>
        <v>1.2</v>
      </c>
      <c r="E33" s="23"/>
      <c r="F33" s="23"/>
      <c r="G33" s="22" t="str">
        <f>IF(P33=1,ROUND(E33*'使用方法'!$B$5+F33*'使用方法'!$B$6,6),"")</f>
        <v/>
      </c>
      <c r="H33" s="22" t="str">
        <f t="shared" si="1"/>
        <v/>
      </c>
      <c r="I33" s="14"/>
      <c r="J33" s="14"/>
      <c r="K33" s="14"/>
      <c r="L33" s="14"/>
      <c r="M33" s="14"/>
      <c r="N33" s="14"/>
      <c r="O33" s="28"/>
      <c r="P33" s="13">
        <f t="shared" si="2"/>
        <v>0</v>
      </c>
      <c r="Q33" s="13">
        <f t="shared" si="3"/>
        <v>0</v>
      </c>
      <c r="R33" s="22" t="str">
        <f t="shared" si="4"/>
        <v/>
      </c>
    </row>
    <row r="34" ht="48.0" customHeight="1">
      <c r="A34" s="11" t="s">
        <v>298</v>
      </c>
      <c r="B34" s="11" t="s">
        <v>133</v>
      </c>
      <c r="C34" s="11" t="s">
        <v>299</v>
      </c>
      <c r="D34" s="22">
        <f t="array" ref="D34">INDEX('60項目の基準'!$D$6:$D$65,MATCH(A34,'60項目の基準'!$A$6:$A$65,0))</f>
        <v>1.2</v>
      </c>
      <c r="E34" s="23"/>
      <c r="F34" s="23"/>
      <c r="G34" s="22" t="str">
        <f>IF(P34=1,ROUND(E34*'使用方法'!$B$5+F34*'使用方法'!$B$6,6),"")</f>
        <v/>
      </c>
      <c r="H34" s="22" t="str">
        <f t="shared" si="1"/>
        <v/>
      </c>
      <c r="I34" s="14"/>
      <c r="J34" s="14"/>
      <c r="K34" s="14"/>
      <c r="L34" s="14"/>
      <c r="M34" s="14"/>
      <c r="N34" s="14"/>
      <c r="O34" s="28"/>
      <c r="P34" s="13">
        <f t="shared" si="2"/>
        <v>0</v>
      </c>
      <c r="Q34" s="13">
        <f t="shared" si="3"/>
        <v>0</v>
      </c>
      <c r="R34" s="22" t="str">
        <f t="shared" si="4"/>
        <v/>
      </c>
    </row>
    <row r="35" ht="48.0" customHeight="1">
      <c r="A35" s="18" t="s">
        <v>305</v>
      </c>
      <c r="B35" s="18" t="s">
        <v>133</v>
      </c>
      <c r="C35" s="18" t="s">
        <v>306</v>
      </c>
      <c r="D35" s="29">
        <f t="array" ref="D35">INDEX('60項目の基準'!$D$6:$D$65,MATCH(A35,'60項目の基準'!$A$6:$A$65,0))</f>
        <v>1.2</v>
      </c>
      <c r="E35" s="23"/>
      <c r="F35" s="23"/>
      <c r="G35" s="22" t="str">
        <f>IF(P35=1,ROUND(E35*'使用方法'!$B$5+F35*'使用方法'!$B$6,6),"")</f>
        <v/>
      </c>
      <c r="H35" s="22" t="str">
        <f t="shared" si="1"/>
        <v/>
      </c>
      <c r="I35" s="14"/>
      <c r="J35" s="14"/>
      <c r="K35" s="14"/>
      <c r="L35" s="14"/>
      <c r="M35" s="14"/>
      <c r="N35" s="14"/>
      <c r="O35" s="28"/>
      <c r="P35" s="13">
        <f t="shared" si="2"/>
        <v>0</v>
      </c>
      <c r="Q35" s="13">
        <f t="shared" si="3"/>
        <v>0</v>
      </c>
      <c r="R35" s="22" t="str">
        <f t="shared" si="4"/>
        <v/>
      </c>
    </row>
    <row r="36" ht="48.0" customHeight="1">
      <c r="A36" s="11" t="s">
        <v>312</v>
      </c>
      <c r="B36" s="11" t="s">
        <v>142</v>
      </c>
      <c r="C36" s="11" t="s">
        <v>313</v>
      </c>
      <c r="D36" s="22">
        <f t="array" ref="D36">INDEX('60項目の基準'!$D$6:$D$65,MATCH(A36,'60項目の基準'!$A$6:$A$65,0))</f>
        <v>1</v>
      </c>
      <c r="E36" s="23"/>
      <c r="F36" s="23"/>
      <c r="G36" s="22" t="str">
        <f>IF(P36=1,ROUND(E36*'使用方法'!$B$5+F36*'使用方法'!$B$6,6),"")</f>
        <v/>
      </c>
      <c r="H36" s="22" t="str">
        <f t="shared" si="1"/>
        <v/>
      </c>
      <c r="I36" s="14"/>
      <c r="J36" s="14"/>
      <c r="K36" s="14"/>
      <c r="L36" s="14"/>
      <c r="M36" s="14"/>
      <c r="N36" s="14"/>
      <c r="O36" s="28"/>
      <c r="P36" s="13">
        <f t="shared" si="2"/>
        <v>0</v>
      </c>
      <c r="Q36" s="13">
        <f t="shared" si="3"/>
        <v>0</v>
      </c>
      <c r="R36" s="22" t="str">
        <f t="shared" si="4"/>
        <v/>
      </c>
    </row>
    <row r="37" ht="48.0" customHeight="1">
      <c r="A37" s="18" t="s">
        <v>319</v>
      </c>
      <c r="B37" s="18" t="s">
        <v>142</v>
      </c>
      <c r="C37" s="18" t="s">
        <v>320</v>
      </c>
      <c r="D37" s="29">
        <f t="array" ref="D37">INDEX('60項目の基準'!$D$6:$D$65,MATCH(A37,'60項目の基準'!$A$6:$A$65,0))</f>
        <v>1</v>
      </c>
      <c r="E37" s="23"/>
      <c r="F37" s="23"/>
      <c r="G37" s="22" t="str">
        <f>IF(P37=1,ROUND(E37*'使用方法'!$B$5+F37*'使用方法'!$B$6,6),"")</f>
        <v/>
      </c>
      <c r="H37" s="22" t="str">
        <f t="shared" si="1"/>
        <v/>
      </c>
      <c r="I37" s="14"/>
      <c r="J37" s="14"/>
      <c r="K37" s="14"/>
      <c r="L37" s="14"/>
      <c r="M37" s="14"/>
      <c r="N37" s="14"/>
      <c r="O37" s="28"/>
      <c r="P37" s="13">
        <f t="shared" si="2"/>
        <v>0</v>
      </c>
      <c r="Q37" s="13">
        <f t="shared" si="3"/>
        <v>0</v>
      </c>
      <c r="R37" s="22" t="str">
        <f t="shared" si="4"/>
        <v/>
      </c>
    </row>
    <row r="38" ht="48.0" customHeight="1">
      <c r="A38" s="11" t="s">
        <v>326</v>
      </c>
      <c r="B38" s="11" t="s">
        <v>142</v>
      </c>
      <c r="C38" s="11" t="s">
        <v>327</v>
      </c>
      <c r="D38" s="22">
        <f t="array" ref="D38">INDEX('60項目の基準'!$D$6:$D$65,MATCH(A38,'60項目の基準'!$A$6:$A$65,0))</f>
        <v>1</v>
      </c>
      <c r="E38" s="23"/>
      <c r="F38" s="23"/>
      <c r="G38" s="22" t="str">
        <f>IF(P38=1,ROUND(E38*'使用方法'!$B$5+F38*'使用方法'!$B$6,6),"")</f>
        <v/>
      </c>
      <c r="H38" s="22" t="str">
        <f t="shared" si="1"/>
        <v/>
      </c>
      <c r="I38" s="14"/>
      <c r="J38" s="14"/>
      <c r="K38" s="14"/>
      <c r="L38" s="14"/>
      <c r="M38" s="14"/>
      <c r="N38" s="14"/>
      <c r="O38" s="28"/>
      <c r="P38" s="13">
        <f t="shared" si="2"/>
        <v>0</v>
      </c>
      <c r="Q38" s="13">
        <f t="shared" si="3"/>
        <v>0</v>
      </c>
      <c r="R38" s="22" t="str">
        <f t="shared" si="4"/>
        <v/>
      </c>
    </row>
    <row r="39" ht="48.0" customHeight="1">
      <c r="A39" s="18" t="s">
        <v>333</v>
      </c>
      <c r="B39" s="18" t="s">
        <v>142</v>
      </c>
      <c r="C39" s="18" t="s">
        <v>334</v>
      </c>
      <c r="D39" s="29">
        <f t="array" ref="D39">INDEX('60項目の基準'!$D$6:$D$65,MATCH(A39,'60項目の基準'!$A$6:$A$65,0))</f>
        <v>1</v>
      </c>
      <c r="E39" s="23"/>
      <c r="F39" s="23"/>
      <c r="G39" s="22" t="str">
        <f>IF(P39=1,ROUND(E39*'使用方法'!$B$5+F39*'使用方法'!$B$6,6),"")</f>
        <v/>
      </c>
      <c r="H39" s="22" t="str">
        <f t="shared" si="1"/>
        <v/>
      </c>
      <c r="I39" s="14"/>
      <c r="J39" s="14"/>
      <c r="K39" s="14"/>
      <c r="L39" s="14"/>
      <c r="M39" s="14"/>
      <c r="N39" s="14"/>
      <c r="O39" s="28"/>
      <c r="P39" s="13">
        <f t="shared" si="2"/>
        <v>0</v>
      </c>
      <c r="Q39" s="13">
        <f t="shared" si="3"/>
        <v>0</v>
      </c>
      <c r="R39" s="22" t="str">
        <f t="shared" si="4"/>
        <v/>
      </c>
    </row>
    <row r="40" ht="48.0" customHeight="1">
      <c r="A40" s="11" t="s">
        <v>359</v>
      </c>
      <c r="B40" s="11" t="s">
        <v>142</v>
      </c>
      <c r="C40" s="11" t="s">
        <v>365</v>
      </c>
      <c r="D40" s="22">
        <f t="array" ref="D40">INDEX('60項目の基準'!$D$6:$D$65,MATCH(A40,'60項目の基準'!$A$6:$A$65,0))</f>
        <v>1</v>
      </c>
      <c r="E40" s="23"/>
      <c r="F40" s="23"/>
      <c r="G40" s="22" t="str">
        <f>IF(P40=1,ROUND(E40*'使用方法'!$B$5+F40*'使用方法'!$B$6,6),"")</f>
        <v/>
      </c>
      <c r="H40" s="22" t="str">
        <f t="shared" si="1"/>
        <v/>
      </c>
      <c r="I40" s="14"/>
      <c r="J40" s="14"/>
      <c r="K40" s="14"/>
      <c r="L40" s="14"/>
      <c r="M40" s="14"/>
      <c r="N40" s="14"/>
      <c r="O40" s="28"/>
      <c r="P40" s="13">
        <f t="shared" si="2"/>
        <v>0</v>
      </c>
      <c r="Q40" s="13">
        <f t="shared" si="3"/>
        <v>0</v>
      </c>
      <c r="R40" s="22" t="str">
        <f t="shared" si="4"/>
        <v/>
      </c>
    </row>
    <row r="41" ht="48.0" customHeight="1">
      <c r="A41" s="18" t="s">
        <v>388</v>
      </c>
      <c r="B41" s="18" t="s">
        <v>152</v>
      </c>
      <c r="C41" s="18" t="s">
        <v>389</v>
      </c>
      <c r="D41" s="29">
        <f t="array" ref="D41">INDEX('60項目の基準'!$D$6:$D$65,MATCH(A41,'60項目の基準'!$A$6:$A$65,0))</f>
        <v>2</v>
      </c>
      <c r="E41" s="23"/>
      <c r="F41" s="23"/>
      <c r="G41" s="22" t="str">
        <f>IF(P41=1,ROUND(E41*'使用方法'!$B$5+F41*'使用方法'!$B$6,6),"")</f>
        <v/>
      </c>
      <c r="H41" s="22" t="str">
        <f t="shared" si="1"/>
        <v/>
      </c>
      <c r="I41" s="14"/>
      <c r="J41" s="14"/>
      <c r="K41" s="14"/>
      <c r="L41" s="14"/>
      <c r="M41" s="14"/>
      <c r="N41" s="14"/>
      <c r="O41" s="28"/>
      <c r="P41" s="13">
        <f t="shared" si="2"/>
        <v>0</v>
      </c>
      <c r="Q41" s="13">
        <f t="shared" si="3"/>
        <v>0</v>
      </c>
      <c r="R41" s="22" t="str">
        <f t="shared" si="4"/>
        <v/>
      </c>
    </row>
    <row r="42" ht="48.0" customHeight="1">
      <c r="A42" s="11" t="s">
        <v>395</v>
      </c>
      <c r="B42" s="11" t="s">
        <v>152</v>
      </c>
      <c r="C42" s="11" t="s">
        <v>396</v>
      </c>
      <c r="D42" s="22">
        <f t="array" ref="D42">INDEX('60項目の基準'!$D$6:$D$65,MATCH(A42,'60項目の基準'!$A$6:$A$65,0))</f>
        <v>2</v>
      </c>
      <c r="E42" s="23"/>
      <c r="F42" s="23"/>
      <c r="G42" s="22" t="str">
        <f>IF(P42=1,ROUND(E42*'使用方法'!$B$5+F42*'使用方法'!$B$6,6),"")</f>
        <v/>
      </c>
      <c r="H42" s="22" t="str">
        <f t="shared" si="1"/>
        <v/>
      </c>
      <c r="I42" s="14"/>
      <c r="J42" s="14"/>
      <c r="K42" s="14"/>
      <c r="L42" s="14"/>
      <c r="M42" s="14"/>
      <c r="N42" s="14"/>
      <c r="O42" s="28"/>
      <c r="P42" s="13">
        <f t="shared" si="2"/>
        <v>0</v>
      </c>
      <c r="Q42" s="13">
        <f t="shared" si="3"/>
        <v>0</v>
      </c>
      <c r="R42" s="22" t="str">
        <f t="shared" si="4"/>
        <v/>
      </c>
    </row>
    <row r="43" ht="48.0" customHeight="1">
      <c r="A43" s="18" t="s">
        <v>402</v>
      </c>
      <c r="B43" s="18" t="s">
        <v>152</v>
      </c>
      <c r="C43" s="18" t="s">
        <v>403</v>
      </c>
      <c r="D43" s="29">
        <f t="array" ref="D43">INDEX('60項目の基準'!$D$6:$D$65,MATCH(A43,'60項目の基準'!$A$6:$A$65,0))</f>
        <v>2</v>
      </c>
      <c r="E43" s="23"/>
      <c r="F43" s="23"/>
      <c r="G43" s="22" t="str">
        <f>IF(P43=1,ROUND(E43*'使用方法'!$B$5+F43*'使用方法'!$B$6,6),"")</f>
        <v/>
      </c>
      <c r="H43" s="22" t="str">
        <f t="shared" si="1"/>
        <v/>
      </c>
      <c r="I43" s="14"/>
      <c r="J43" s="14"/>
      <c r="K43" s="14"/>
      <c r="L43" s="14"/>
      <c r="M43" s="14"/>
      <c r="N43" s="14"/>
      <c r="O43" s="28"/>
      <c r="P43" s="13">
        <f t="shared" si="2"/>
        <v>0</v>
      </c>
      <c r="Q43" s="13">
        <f t="shared" si="3"/>
        <v>0</v>
      </c>
      <c r="R43" s="22" t="str">
        <f t="shared" si="4"/>
        <v/>
      </c>
    </row>
    <row r="44" ht="48.0" customHeight="1">
      <c r="A44" s="11" t="s">
        <v>409</v>
      </c>
      <c r="B44" s="11" t="s">
        <v>152</v>
      </c>
      <c r="C44" s="11" t="s">
        <v>412</v>
      </c>
      <c r="D44" s="22">
        <f t="array" ref="D44">INDEX('60項目の基準'!$D$6:$D$65,MATCH(A44,'60項目の基準'!$A$6:$A$65,0))</f>
        <v>2</v>
      </c>
      <c r="E44" s="23"/>
      <c r="F44" s="23"/>
      <c r="G44" s="22" t="str">
        <f>IF(P44=1,ROUND(E44*'使用方法'!$B$5+F44*'使用方法'!$B$6,6),"")</f>
        <v/>
      </c>
      <c r="H44" s="22" t="str">
        <f t="shared" si="1"/>
        <v/>
      </c>
      <c r="I44" s="14"/>
      <c r="J44" s="14"/>
      <c r="K44" s="14"/>
      <c r="L44" s="14"/>
      <c r="M44" s="14"/>
      <c r="N44" s="14"/>
      <c r="O44" s="28"/>
      <c r="P44" s="13">
        <f t="shared" si="2"/>
        <v>0</v>
      </c>
      <c r="Q44" s="13">
        <f t="shared" si="3"/>
        <v>0</v>
      </c>
      <c r="R44" s="22" t="str">
        <f t="shared" si="4"/>
        <v/>
      </c>
    </row>
    <row r="45" ht="48.0" customHeight="1">
      <c r="A45" s="18" t="s">
        <v>436</v>
      </c>
      <c r="B45" s="18" t="s">
        <v>152</v>
      </c>
      <c r="C45" s="18" t="s">
        <v>442</v>
      </c>
      <c r="D45" s="29">
        <f t="array" ref="D45">INDEX('60項目の基準'!$D$6:$D$65,MATCH(A45,'60項目の基準'!$A$6:$A$65,0))</f>
        <v>2</v>
      </c>
      <c r="E45" s="23"/>
      <c r="F45" s="23"/>
      <c r="G45" s="22" t="str">
        <f>IF(P45=1,ROUND(E45*'使用方法'!$B$5+F45*'使用方法'!$B$6,6),"")</f>
        <v/>
      </c>
      <c r="H45" s="22" t="str">
        <f t="shared" si="1"/>
        <v/>
      </c>
      <c r="I45" s="14"/>
      <c r="J45" s="14"/>
      <c r="K45" s="14"/>
      <c r="L45" s="14"/>
      <c r="M45" s="14"/>
      <c r="N45" s="14"/>
      <c r="O45" s="28"/>
      <c r="P45" s="13">
        <f t="shared" si="2"/>
        <v>0</v>
      </c>
      <c r="Q45" s="13">
        <f t="shared" si="3"/>
        <v>0</v>
      </c>
      <c r="R45" s="22" t="str">
        <f t="shared" si="4"/>
        <v/>
      </c>
    </row>
    <row r="46" ht="48.0" customHeight="1">
      <c r="A46" s="11" t="s">
        <v>469</v>
      </c>
      <c r="B46" s="11" t="s">
        <v>162</v>
      </c>
      <c r="C46" s="11" t="s">
        <v>470</v>
      </c>
      <c r="D46" s="22">
        <f t="array" ref="D46">INDEX('60項目の基準'!$D$6:$D$65,MATCH(A46,'60項目の基準'!$A$6:$A$65,0))</f>
        <v>1.6</v>
      </c>
      <c r="E46" s="23"/>
      <c r="F46" s="23"/>
      <c r="G46" s="22" t="str">
        <f>IF(P46=1,ROUND(E46*'使用方法'!$B$5+F46*'使用方法'!$B$6,6),"")</f>
        <v/>
      </c>
      <c r="H46" s="22" t="str">
        <f t="shared" si="1"/>
        <v/>
      </c>
      <c r="I46" s="14"/>
      <c r="J46" s="14"/>
      <c r="K46" s="14"/>
      <c r="L46" s="14"/>
      <c r="M46" s="14"/>
      <c r="N46" s="14"/>
      <c r="O46" s="28"/>
      <c r="P46" s="13">
        <f t="shared" si="2"/>
        <v>0</v>
      </c>
      <c r="Q46" s="13">
        <f t="shared" si="3"/>
        <v>0</v>
      </c>
      <c r="R46" s="22" t="str">
        <f t="shared" si="4"/>
        <v/>
      </c>
    </row>
    <row r="47" ht="48.0" customHeight="1">
      <c r="A47" s="18" t="s">
        <v>476</v>
      </c>
      <c r="B47" s="18" t="s">
        <v>162</v>
      </c>
      <c r="C47" s="18" t="s">
        <v>477</v>
      </c>
      <c r="D47" s="29">
        <f t="array" ref="D47">INDEX('60項目の基準'!$D$6:$D$65,MATCH(A47,'60項目の基準'!$A$6:$A$65,0))</f>
        <v>1.6</v>
      </c>
      <c r="E47" s="23"/>
      <c r="F47" s="23"/>
      <c r="G47" s="22" t="str">
        <f>IF(P47=1,ROUND(E47*'使用方法'!$B$5+F47*'使用方法'!$B$6,6),"")</f>
        <v/>
      </c>
      <c r="H47" s="22" t="str">
        <f t="shared" si="1"/>
        <v/>
      </c>
      <c r="I47" s="14"/>
      <c r="J47" s="14"/>
      <c r="K47" s="14"/>
      <c r="L47" s="14"/>
      <c r="M47" s="14"/>
      <c r="N47" s="14"/>
      <c r="O47" s="28"/>
      <c r="P47" s="13">
        <f t="shared" si="2"/>
        <v>0</v>
      </c>
      <c r="Q47" s="13">
        <f t="shared" si="3"/>
        <v>0</v>
      </c>
      <c r="R47" s="22" t="str">
        <f t="shared" si="4"/>
        <v/>
      </c>
    </row>
    <row r="48" ht="48.0" customHeight="1">
      <c r="A48" s="11" t="s">
        <v>483</v>
      </c>
      <c r="B48" s="11" t="s">
        <v>162</v>
      </c>
      <c r="C48" s="11" t="s">
        <v>484</v>
      </c>
      <c r="D48" s="22">
        <f t="array" ref="D48">INDEX('60項目の基準'!$D$6:$D$65,MATCH(A48,'60項目の基準'!$A$6:$A$65,0))</f>
        <v>1.6</v>
      </c>
      <c r="E48" s="23"/>
      <c r="F48" s="23"/>
      <c r="G48" s="22" t="str">
        <f>IF(P48=1,ROUND(E48*'使用方法'!$B$5+F48*'使用方法'!$B$6,6),"")</f>
        <v/>
      </c>
      <c r="H48" s="22" t="str">
        <f t="shared" si="1"/>
        <v/>
      </c>
      <c r="I48" s="14"/>
      <c r="J48" s="14"/>
      <c r="K48" s="14"/>
      <c r="L48" s="14"/>
      <c r="M48" s="14"/>
      <c r="N48" s="14"/>
      <c r="O48" s="28"/>
      <c r="P48" s="13">
        <f t="shared" si="2"/>
        <v>0</v>
      </c>
      <c r="Q48" s="13">
        <f t="shared" si="3"/>
        <v>0</v>
      </c>
      <c r="R48" s="22" t="str">
        <f t="shared" si="4"/>
        <v/>
      </c>
    </row>
    <row r="49" ht="48.0" customHeight="1">
      <c r="A49" s="18" t="s">
        <v>490</v>
      </c>
      <c r="B49" s="18" t="s">
        <v>162</v>
      </c>
      <c r="C49" s="18" t="s">
        <v>491</v>
      </c>
      <c r="D49" s="29">
        <f t="array" ref="D49">INDEX('60項目の基準'!$D$6:$D$65,MATCH(A49,'60項目の基準'!$A$6:$A$65,0))</f>
        <v>1.6</v>
      </c>
      <c r="E49" s="23"/>
      <c r="F49" s="23"/>
      <c r="G49" s="22" t="str">
        <f>IF(P49=1,ROUND(E49*'使用方法'!$B$5+F49*'使用方法'!$B$6,6),"")</f>
        <v/>
      </c>
      <c r="H49" s="22" t="str">
        <f t="shared" si="1"/>
        <v/>
      </c>
      <c r="I49" s="14"/>
      <c r="J49" s="14"/>
      <c r="K49" s="14"/>
      <c r="L49" s="14"/>
      <c r="M49" s="14"/>
      <c r="N49" s="14"/>
      <c r="O49" s="28"/>
      <c r="P49" s="13">
        <f t="shared" si="2"/>
        <v>0</v>
      </c>
      <c r="Q49" s="13">
        <f t="shared" si="3"/>
        <v>0</v>
      </c>
      <c r="R49" s="22" t="str">
        <f t="shared" si="4"/>
        <v/>
      </c>
    </row>
    <row r="50" ht="48.0" customHeight="1">
      <c r="A50" s="11" t="s">
        <v>497</v>
      </c>
      <c r="B50" s="11" t="s">
        <v>162</v>
      </c>
      <c r="C50" s="11" t="s">
        <v>498</v>
      </c>
      <c r="D50" s="22">
        <f t="array" ref="D50">INDEX('60項目の基準'!$D$6:$D$65,MATCH(A50,'60項目の基準'!$A$6:$A$65,0))</f>
        <v>1.6</v>
      </c>
      <c r="E50" s="23"/>
      <c r="F50" s="23"/>
      <c r="G50" s="22" t="str">
        <f>IF(P50=1,ROUND(E50*'使用方法'!$B$5+F50*'使用方法'!$B$6,6),"")</f>
        <v/>
      </c>
      <c r="H50" s="22" t="str">
        <f t="shared" si="1"/>
        <v/>
      </c>
      <c r="I50" s="14"/>
      <c r="J50" s="14"/>
      <c r="K50" s="14"/>
      <c r="L50" s="14"/>
      <c r="M50" s="14"/>
      <c r="N50" s="14"/>
      <c r="O50" s="28"/>
      <c r="P50" s="13">
        <f t="shared" si="2"/>
        <v>0</v>
      </c>
      <c r="Q50" s="13">
        <f t="shared" si="3"/>
        <v>0</v>
      </c>
      <c r="R50" s="22" t="str">
        <f t="shared" si="4"/>
        <v/>
      </c>
    </row>
    <row r="51" ht="48.0" customHeight="1">
      <c r="A51" s="18" t="s">
        <v>504</v>
      </c>
      <c r="B51" s="18" t="s">
        <v>171</v>
      </c>
      <c r="C51" s="18" t="s">
        <v>505</v>
      </c>
      <c r="D51" s="29">
        <f t="array" ref="D51">INDEX('60項目の基準'!$D$6:$D$65,MATCH(A51,'60項目の基準'!$A$6:$A$65,0))</f>
        <v>2</v>
      </c>
      <c r="E51" s="23"/>
      <c r="F51" s="23"/>
      <c r="G51" s="22" t="str">
        <f>IF(P51=1,ROUND(E51*'使用方法'!$B$5+F51*'使用方法'!$B$6,6),"")</f>
        <v/>
      </c>
      <c r="H51" s="22" t="str">
        <f t="shared" si="1"/>
        <v/>
      </c>
      <c r="I51" s="14"/>
      <c r="J51" s="14"/>
      <c r="K51" s="14"/>
      <c r="L51" s="14"/>
      <c r="M51" s="14"/>
      <c r="N51" s="14"/>
      <c r="O51" s="28"/>
      <c r="P51" s="13">
        <f t="shared" si="2"/>
        <v>0</v>
      </c>
      <c r="Q51" s="13">
        <f t="shared" si="3"/>
        <v>0</v>
      </c>
      <c r="R51" s="22" t="str">
        <f t="shared" si="4"/>
        <v/>
      </c>
    </row>
    <row r="52" ht="48.0" customHeight="1">
      <c r="A52" s="11" t="s">
        <v>511</v>
      </c>
      <c r="B52" s="11" t="s">
        <v>171</v>
      </c>
      <c r="C52" s="11" t="s">
        <v>512</v>
      </c>
      <c r="D52" s="22">
        <f t="array" ref="D52">INDEX('60項目の基準'!$D$6:$D$65,MATCH(A52,'60項目の基準'!$A$6:$A$65,0))</f>
        <v>2</v>
      </c>
      <c r="E52" s="23"/>
      <c r="F52" s="23"/>
      <c r="G52" s="22" t="str">
        <f>IF(P52=1,ROUND(E52*'使用方法'!$B$5+F52*'使用方法'!$B$6,6),"")</f>
        <v/>
      </c>
      <c r="H52" s="22" t="str">
        <f t="shared" si="1"/>
        <v/>
      </c>
      <c r="I52" s="14"/>
      <c r="J52" s="14"/>
      <c r="K52" s="14"/>
      <c r="L52" s="14"/>
      <c r="M52" s="14"/>
      <c r="N52" s="14"/>
      <c r="O52" s="28"/>
      <c r="P52" s="13">
        <f t="shared" si="2"/>
        <v>0</v>
      </c>
      <c r="Q52" s="13">
        <f t="shared" si="3"/>
        <v>0</v>
      </c>
      <c r="R52" s="22" t="str">
        <f t="shared" si="4"/>
        <v/>
      </c>
    </row>
    <row r="53" ht="48.0" customHeight="1">
      <c r="A53" s="18" t="s">
        <v>518</v>
      </c>
      <c r="B53" s="18" t="s">
        <v>171</v>
      </c>
      <c r="C53" s="18" t="s">
        <v>519</v>
      </c>
      <c r="D53" s="29">
        <f t="array" ref="D53">INDEX('60項目の基準'!$D$6:$D$65,MATCH(A53,'60項目の基準'!$A$6:$A$65,0))</f>
        <v>2</v>
      </c>
      <c r="E53" s="23"/>
      <c r="F53" s="23"/>
      <c r="G53" s="22" t="str">
        <f>IF(P53=1,ROUND(E53*'使用方法'!$B$5+F53*'使用方法'!$B$6,6),"")</f>
        <v/>
      </c>
      <c r="H53" s="22" t="str">
        <f t="shared" si="1"/>
        <v/>
      </c>
      <c r="I53" s="14"/>
      <c r="J53" s="14"/>
      <c r="K53" s="14"/>
      <c r="L53" s="14"/>
      <c r="M53" s="14"/>
      <c r="N53" s="14"/>
      <c r="O53" s="28"/>
      <c r="P53" s="13">
        <f t="shared" si="2"/>
        <v>0</v>
      </c>
      <c r="Q53" s="13">
        <f t="shared" si="3"/>
        <v>0</v>
      </c>
      <c r="R53" s="22" t="str">
        <f t="shared" si="4"/>
        <v/>
      </c>
    </row>
    <row r="54" ht="48.0" customHeight="1">
      <c r="A54" s="11" t="s">
        <v>525</v>
      </c>
      <c r="B54" s="11" t="s">
        <v>171</v>
      </c>
      <c r="C54" s="11" t="s">
        <v>526</v>
      </c>
      <c r="D54" s="22">
        <f t="array" ref="D54">INDEX('60項目の基準'!$D$6:$D$65,MATCH(A54,'60項目の基準'!$A$6:$A$65,0))</f>
        <v>2</v>
      </c>
      <c r="E54" s="23"/>
      <c r="F54" s="23"/>
      <c r="G54" s="22" t="str">
        <f>IF(P54=1,ROUND(E54*'使用方法'!$B$5+F54*'使用方法'!$B$6,6),"")</f>
        <v/>
      </c>
      <c r="H54" s="22" t="str">
        <f t="shared" si="1"/>
        <v/>
      </c>
      <c r="I54" s="14"/>
      <c r="J54" s="14"/>
      <c r="K54" s="14"/>
      <c r="L54" s="14"/>
      <c r="M54" s="14"/>
      <c r="N54" s="14"/>
      <c r="O54" s="28"/>
      <c r="P54" s="13">
        <f t="shared" si="2"/>
        <v>0</v>
      </c>
      <c r="Q54" s="13">
        <f t="shared" si="3"/>
        <v>0</v>
      </c>
      <c r="R54" s="22" t="str">
        <f t="shared" si="4"/>
        <v/>
      </c>
    </row>
    <row r="55" ht="48.0" customHeight="1">
      <c r="A55" s="18" t="s">
        <v>532</v>
      </c>
      <c r="B55" s="18" t="s">
        <v>171</v>
      </c>
      <c r="C55" s="18" t="s">
        <v>533</v>
      </c>
      <c r="D55" s="29">
        <f t="array" ref="D55">INDEX('60項目の基準'!$D$6:$D$65,MATCH(A55,'60項目の基準'!$A$6:$A$65,0))</f>
        <v>2</v>
      </c>
      <c r="E55" s="23"/>
      <c r="F55" s="23"/>
      <c r="G55" s="22" t="str">
        <f>IF(P55=1,ROUND(E55*'使用方法'!$B$5+F55*'使用方法'!$B$6,6),"")</f>
        <v/>
      </c>
      <c r="H55" s="22" t="str">
        <f t="shared" si="1"/>
        <v/>
      </c>
      <c r="I55" s="14"/>
      <c r="J55" s="14"/>
      <c r="K55" s="14"/>
      <c r="L55" s="14"/>
      <c r="M55" s="14"/>
      <c r="N55" s="14"/>
      <c r="O55" s="28"/>
      <c r="P55" s="13">
        <f t="shared" si="2"/>
        <v>0</v>
      </c>
      <c r="Q55" s="13">
        <f t="shared" si="3"/>
        <v>0</v>
      </c>
      <c r="R55" s="22" t="str">
        <f t="shared" si="4"/>
        <v/>
      </c>
    </row>
    <row r="56" ht="48.0" customHeight="1">
      <c r="A56" s="11" t="s">
        <v>539</v>
      </c>
      <c r="B56" s="11" t="s">
        <v>184</v>
      </c>
      <c r="C56" s="11" t="s">
        <v>540</v>
      </c>
      <c r="D56" s="22">
        <f t="array" ref="D56">INDEX('60項目の基準'!$D$6:$D$65,MATCH(A56,'60項目の基準'!$A$6:$A$65,0))</f>
        <v>1.2</v>
      </c>
      <c r="E56" s="23"/>
      <c r="F56" s="23"/>
      <c r="G56" s="22" t="str">
        <f>IF(P56=1,ROUND(E56*'使用方法'!$B$5+F56*'使用方法'!$B$6,6),"")</f>
        <v/>
      </c>
      <c r="H56" s="22" t="str">
        <f t="shared" si="1"/>
        <v/>
      </c>
      <c r="I56" s="14"/>
      <c r="J56" s="14"/>
      <c r="K56" s="14"/>
      <c r="L56" s="14"/>
      <c r="M56" s="14"/>
      <c r="N56" s="14"/>
      <c r="O56" s="28"/>
      <c r="P56" s="13">
        <f t="shared" si="2"/>
        <v>0</v>
      </c>
      <c r="Q56" s="13">
        <f t="shared" si="3"/>
        <v>0</v>
      </c>
      <c r="R56" s="22" t="str">
        <f t="shared" si="4"/>
        <v/>
      </c>
    </row>
    <row r="57" ht="48.0" customHeight="1">
      <c r="A57" s="18" t="s">
        <v>546</v>
      </c>
      <c r="B57" s="18" t="s">
        <v>184</v>
      </c>
      <c r="C57" s="18" t="s">
        <v>547</v>
      </c>
      <c r="D57" s="29">
        <f t="array" ref="D57">INDEX('60項目の基準'!$D$6:$D$65,MATCH(A57,'60項目の基準'!$A$6:$A$65,0))</f>
        <v>1.2</v>
      </c>
      <c r="E57" s="23"/>
      <c r="F57" s="23"/>
      <c r="G57" s="22" t="str">
        <f>IF(P57=1,ROUND(E57*'使用方法'!$B$5+F57*'使用方法'!$B$6,6),"")</f>
        <v/>
      </c>
      <c r="H57" s="22" t="str">
        <f t="shared" si="1"/>
        <v/>
      </c>
      <c r="I57" s="14"/>
      <c r="J57" s="14"/>
      <c r="K57" s="14"/>
      <c r="L57" s="14"/>
      <c r="M57" s="14"/>
      <c r="N57" s="14"/>
      <c r="O57" s="28"/>
      <c r="P57" s="13">
        <f t="shared" si="2"/>
        <v>0</v>
      </c>
      <c r="Q57" s="13">
        <f t="shared" si="3"/>
        <v>0</v>
      </c>
      <c r="R57" s="22" t="str">
        <f t="shared" si="4"/>
        <v/>
      </c>
    </row>
    <row r="58" ht="48.0" customHeight="1">
      <c r="A58" s="11" t="s">
        <v>553</v>
      </c>
      <c r="B58" s="11" t="s">
        <v>184</v>
      </c>
      <c r="C58" s="11" t="s">
        <v>554</v>
      </c>
      <c r="D58" s="22">
        <f t="array" ref="D58">INDEX('60項目の基準'!$D$6:$D$65,MATCH(A58,'60項目の基準'!$A$6:$A$65,0))</f>
        <v>1.2</v>
      </c>
      <c r="E58" s="23"/>
      <c r="F58" s="23"/>
      <c r="G58" s="22" t="str">
        <f>IF(P58=1,ROUND(E58*'使用方法'!$B$5+F58*'使用方法'!$B$6,6),"")</f>
        <v/>
      </c>
      <c r="H58" s="22" t="str">
        <f t="shared" si="1"/>
        <v/>
      </c>
      <c r="I58" s="14"/>
      <c r="J58" s="14"/>
      <c r="K58" s="14"/>
      <c r="L58" s="14"/>
      <c r="M58" s="14"/>
      <c r="N58" s="14"/>
      <c r="O58" s="28"/>
      <c r="P58" s="13">
        <f t="shared" si="2"/>
        <v>0</v>
      </c>
      <c r="Q58" s="13">
        <f t="shared" si="3"/>
        <v>0</v>
      </c>
      <c r="R58" s="22" t="str">
        <f t="shared" si="4"/>
        <v/>
      </c>
    </row>
    <row r="59" ht="48.0" customHeight="1">
      <c r="A59" s="18" t="s">
        <v>560</v>
      </c>
      <c r="B59" s="18" t="s">
        <v>184</v>
      </c>
      <c r="C59" s="18" t="s">
        <v>561</v>
      </c>
      <c r="D59" s="29">
        <f t="array" ref="D59">INDEX('60項目の基準'!$D$6:$D$65,MATCH(A59,'60項目の基準'!$A$6:$A$65,0))</f>
        <v>1.2</v>
      </c>
      <c r="E59" s="23"/>
      <c r="F59" s="23"/>
      <c r="G59" s="22" t="str">
        <f>IF(P59=1,ROUND(E59*'使用方法'!$B$5+F59*'使用方法'!$B$6,6),"")</f>
        <v/>
      </c>
      <c r="H59" s="22" t="str">
        <f t="shared" si="1"/>
        <v/>
      </c>
      <c r="I59" s="14"/>
      <c r="J59" s="14"/>
      <c r="K59" s="14"/>
      <c r="L59" s="14"/>
      <c r="M59" s="14"/>
      <c r="N59" s="14"/>
      <c r="O59" s="28"/>
      <c r="P59" s="13">
        <f t="shared" si="2"/>
        <v>0</v>
      </c>
      <c r="Q59" s="13">
        <f t="shared" si="3"/>
        <v>0</v>
      </c>
      <c r="R59" s="22" t="str">
        <f t="shared" si="4"/>
        <v/>
      </c>
    </row>
    <row r="60" ht="48.0" customHeight="1">
      <c r="A60" s="11" t="s">
        <v>567</v>
      </c>
      <c r="B60" s="11" t="s">
        <v>184</v>
      </c>
      <c r="C60" s="11" t="s">
        <v>568</v>
      </c>
      <c r="D60" s="22">
        <f t="array" ref="D60">INDEX('60項目の基準'!$D$6:$D$65,MATCH(A60,'60項目の基準'!$A$6:$A$65,0))</f>
        <v>1.2</v>
      </c>
      <c r="E60" s="23"/>
      <c r="F60" s="23"/>
      <c r="G60" s="22" t="str">
        <f>IF(P60=1,ROUND(E60*'使用方法'!$B$5+F60*'使用方法'!$B$6,6),"")</f>
        <v/>
      </c>
      <c r="H60" s="22" t="str">
        <f t="shared" si="1"/>
        <v/>
      </c>
      <c r="I60" s="14"/>
      <c r="J60" s="14"/>
      <c r="K60" s="14"/>
      <c r="L60" s="14"/>
      <c r="M60" s="14"/>
      <c r="N60" s="14"/>
      <c r="O60" s="28"/>
      <c r="P60" s="13">
        <f t="shared" si="2"/>
        <v>0</v>
      </c>
      <c r="Q60" s="13">
        <f t="shared" si="3"/>
        <v>0</v>
      </c>
      <c r="R60" s="22" t="str">
        <f t="shared" si="4"/>
        <v/>
      </c>
    </row>
    <row r="61" ht="48.0" customHeight="1">
      <c r="A61" s="18" t="s">
        <v>574</v>
      </c>
      <c r="B61" s="18" t="s">
        <v>194</v>
      </c>
      <c r="C61" s="18" t="s">
        <v>575</v>
      </c>
      <c r="D61" s="29">
        <f t="array" ref="D61">INDEX('60項目の基準'!$D$6:$D$65,MATCH(A61,'60項目の基準'!$A$6:$A$65,0))</f>
        <v>1</v>
      </c>
      <c r="E61" s="23"/>
      <c r="F61" s="23"/>
      <c r="G61" s="22" t="str">
        <f>IF(P61=1,ROUND(E61*'使用方法'!$B$5+F61*'使用方法'!$B$6,6),"")</f>
        <v/>
      </c>
      <c r="H61" s="22" t="str">
        <f t="shared" si="1"/>
        <v/>
      </c>
      <c r="I61" s="14"/>
      <c r="J61" s="14"/>
      <c r="K61" s="14"/>
      <c r="L61" s="14"/>
      <c r="M61" s="14"/>
      <c r="N61" s="14"/>
      <c r="O61" s="28"/>
      <c r="P61" s="13">
        <f t="shared" si="2"/>
        <v>0</v>
      </c>
      <c r="Q61" s="13">
        <f t="shared" si="3"/>
        <v>0</v>
      </c>
      <c r="R61" s="22" t="str">
        <f t="shared" si="4"/>
        <v/>
      </c>
    </row>
    <row r="62" ht="48.0" customHeight="1">
      <c r="A62" s="11" t="s">
        <v>581</v>
      </c>
      <c r="B62" s="11" t="s">
        <v>194</v>
      </c>
      <c r="C62" s="11" t="s">
        <v>582</v>
      </c>
      <c r="D62" s="22">
        <f t="array" ref="D62">INDEX('60項目の基準'!$D$6:$D$65,MATCH(A62,'60項目の基準'!$A$6:$A$65,0))</f>
        <v>1</v>
      </c>
      <c r="E62" s="23"/>
      <c r="F62" s="23"/>
      <c r="G62" s="22" t="str">
        <f>IF(P62=1,ROUND(E62*'使用方法'!$B$5+F62*'使用方法'!$B$6,6),"")</f>
        <v/>
      </c>
      <c r="H62" s="22" t="str">
        <f t="shared" si="1"/>
        <v/>
      </c>
      <c r="I62" s="14"/>
      <c r="J62" s="14"/>
      <c r="K62" s="14"/>
      <c r="L62" s="14"/>
      <c r="M62" s="14"/>
      <c r="N62" s="14"/>
      <c r="O62" s="28"/>
      <c r="P62" s="13">
        <f t="shared" si="2"/>
        <v>0</v>
      </c>
      <c r="Q62" s="13">
        <f t="shared" si="3"/>
        <v>0</v>
      </c>
      <c r="R62" s="22" t="str">
        <f t="shared" si="4"/>
        <v/>
      </c>
    </row>
    <row r="63" ht="48.0" customHeight="1">
      <c r="A63" s="18" t="s">
        <v>588</v>
      </c>
      <c r="B63" s="18" t="s">
        <v>194</v>
      </c>
      <c r="C63" s="18" t="s">
        <v>589</v>
      </c>
      <c r="D63" s="29">
        <f t="array" ref="D63">INDEX('60項目の基準'!$D$6:$D$65,MATCH(A63,'60項目の基準'!$A$6:$A$65,0))</f>
        <v>1</v>
      </c>
      <c r="E63" s="23"/>
      <c r="F63" s="23"/>
      <c r="G63" s="22" t="str">
        <f>IF(P63=1,ROUND(E63*'使用方法'!$B$5+F63*'使用方法'!$B$6,6),"")</f>
        <v/>
      </c>
      <c r="H63" s="22" t="str">
        <f t="shared" si="1"/>
        <v/>
      </c>
      <c r="I63" s="14"/>
      <c r="J63" s="14"/>
      <c r="K63" s="14"/>
      <c r="L63" s="14"/>
      <c r="M63" s="14"/>
      <c r="N63" s="14"/>
      <c r="O63" s="28"/>
      <c r="P63" s="13">
        <f t="shared" si="2"/>
        <v>0</v>
      </c>
      <c r="Q63" s="13">
        <f t="shared" si="3"/>
        <v>0</v>
      </c>
      <c r="R63" s="22" t="str">
        <f t="shared" si="4"/>
        <v/>
      </c>
    </row>
    <row r="64" ht="48.0" customHeight="1">
      <c r="A64" s="11" t="s">
        <v>595</v>
      </c>
      <c r="B64" s="11" t="s">
        <v>194</v>
      </c>
      <c r="C64" s="11" t="s">
        <v>596</v>
      </c>
      <c r="D64" s="22">
        <f t="array" ref="D64">INDEX('60項目の基準'!$D$6:$D$65,MATCH(A64,'60項目の基準'!$A$6:$A$65,0))</f>
        <v>1</v>
      </c>
      <c r="E64" s="23"/>
      <c r="F64" s="23"/>
      <c r="G64" s="22" t="str">
        <f>IF(P64=1,ROUND(E64*'使用方法'!$B$5+F64*'使用方法'!$B$6,6),"")</f>
        <v/>
      </c>
      <c r="H64" s="22" t="str">
        <f t="shared" si="1"/>
        <v/>
      </c>
      <c r="I64" s="14"/>
      <c r="J64" s="14"/>
      <c r="K64" s="14"/>
      <c r="L64" s="14"/>
      <c r="M64" s="14"/>
      <c r="N64" s="14"/>
      <c r="O64" s="28"/>
      <c r="P64" s="13">
        <f t="shared" si="2"/>
        <v>0</v>
      </c>
      <c r="Q64" s="13">
        <f t="shared" si="3"/>
        <v>0</v>
      </c>
      <c r="R64" s="22" t="str">
        <f t="shared" si="4"/>
        <v/>
      </c>
    </row>
    <row r="65" ht="48.0" customHeight="1">
      <c r="A65" s="18" t="s">
        <v>602</v>
      </c>
      <c r="B65" s="18" t="s">
        <v>194</v>
      </c>
      <c r="C65" s="18" t="s">
        <v>603</v>
      </c>
      <c r="D65" s="29">
        <f t="array" ref="D65">INDEX('60項目の基準'!$D$6:$D$65,MATCH(A65,'60項目の基準'!$A$6:$A$65,0))</f>
        <v>1</v>
      </c>
      <c r="E65" s="23"/>
      <c r="F65" s="23"/>
      <c r="G65" s="22" t="str">
        <f>IF(P65=1,ROUND(E65*'使用方法'!$B$5+F65*'使用方法'!$B$6,6),"")</f>
        <v/>
      </c>
      <c r="H65" s="22" t="str">
        <f t="shared" si="1"/>
        <v/>
      </c>
      <c r="I65" s="14"/>
      <c r="J65" s="14"/>
      <c r="K65" s="14"/>
      <c r="L65" s="14"/>
      <c r="M65" s="14"/>
      <c r="N65" s="14"/>
      <c r="O65" s="28"/>
      <c r="P65" s="13">
        <f t="shared" si="2"/>
        <v>0</v>
      </c>
      <c r="Q65" s="13">
        <f t="shared" si="3"/>
        <v>0</v>
      </c>
      <c r="R65" s="22" t="str">
        <f t="shared" si="4"/>
        <v/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6:F65">
    <cfRule type="expression" dxfId="4" priority="1">
      <formula>AND(ISNUMBER(E6),OR(E6&lt;0,E6&gt;5))</formula>
    </cfRule>
  </conditionalFormatting>
  <conditionalFormatting sqref="G6:G65">
    <cfRule type="expression" dxfId="4" priority="2">
      <formula>AND(ISNUMBER(G6),G6&lt;3)</formula>
    </cfRule>
  </conditionalFormatting>
  <conditionalFormatting sqref="I6:I65">
    <cfRule type="containsText" dxfId="4" priority="3" operator="containsText" text="根拠資料不足">
      <formula>NOT(ISERROR(SEARCH(("根拠資料不足"),(I6))))</formula>
    </cfRule>
  </conditionalFormatting>
  <dataValidations>
    <dataValidation type="list" allowBlank="1" sqref="I6:I65">
      <formula1>"未確認,確認済み,根拠資料不足"</formula1>
    </dataValidation>
    <dataValidation type="decimal" allowBlank="1" sqref="E6:F65 O6:O65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8.13"/>
    <col customWidth="1" min="2" max="2" width="27.5"/>
    <col customWidth="1" min="3" max="3" width="37.5"/>
    <col customWidth="1" min="4" max="4" width="14.38"/>
    <col customWidth="1" min="5" max="6" width="47.5"/>
    <col customWidth="1" min="7" max="7" width="48.75"/>
    <col customWidth="1" min="8" max="8" width="55.0"/>
    <col customWidth="1" min="9" max="9" width="53.75"/>
    <col customWidth="1" min="10" max="10" width="40.0"/>
    <col customWidth="1" min="11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3.75" customHeight="1">
      <c r="A2" s="2" t="s">
        <v>9</v>
      </c>
      <c r="B2" s="1"/>
      <c r="C2" s="1"/>
      <c r="D2" s="1"/>
      <c r="E2" s="1"/>
      <c r="F2" s="1"/>
      <c r="G2" s="1"/>
      <c r="H2" s="1"/>
      <c r="I2" s="1"/>
      <c r="J2" s="1"/>
    </row>
    <row r="3" ht="22.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7.75" customHeight="1">
      <c r="A4" s="8" t="s">
        <v>13</v>
      </c>
      <c r="B4" s="1"/>
      <c r="C4" s="1"/>
      <c r="D4" s="1"/>
      <c r="E4" s="1"/>
      <c r="F4" s="1"/>
      <c r="G4" s="1"/>
      <c r="H4" s="1"/>
      <c r="I4" s="1"/>
      <c r="J4" s="1"/>
    </row>
    <row r="5" ht="37.5" customHeight="1">
      <c r="A5" s="9" t="s">
        <v>14</v>
      </c>
      <c r="B5" s="9" t="s">
        <v>16</v>
      </c>
      <c r="C5" s="9" t="s">
        <v>18</v>
      </c>
      <c r="D5" s="9" t="s">
        <v>21</v>
      </c>
      <c r="E5" s="9" t="s">
        <v>23</v>
      </c>
      <c r="F5" s="9" t="s">
        <v>28</v>
      </c>
      <c r="G5" s="9" t="s">
        <v>31</v>
      </c>
      <c r="H5" s="9" t="s">
        <v>33</v>
      </c>
      <c r="I5" s="9" t="s">
        <v>37</v>
      </c>
      <c r="J5" s="9" t="s">
        <v>38</v>
      </c>
    </row>
    <row r="6" ht="63.75" customHeight="1">
      <c r="A6" s="11" t="s">
        <v>39</v>
      </c>
      <c r="B6" s="11" t="s">
        <v>41</v>
      </c>
      <c r="C6" s="11" t="s">
        <v>42</v>
      </c>
      <c r="D6" s="13">
        <v>1.2</v>
      </c>
      <c r="E6" s="11" t="s">
        <v>49</v>
      </c>
      <c r="F6" s="11" t="s">
        <v>51</v>
      </c>
      <c r="G6" s="11" t="s">
        <v>53</v>
      </c>
      <c r="H6" s="11" t="s">
        <v>45</v>
      </c>
      <c r="I6" s="11" t="s">
        <v>58</v>
      </c>
      <c r="J6" s="11" t="s">
        <v>62</v>
      </c>
    </row>
    <row r="7" ht="63.75" customHeight="1">
      <c r="A7" s="18" t="s">
        <v>65</v>
      </c>
      <c r="B7" s="18" t="s">
        <v>41</v>
      </c>
      <c r="C7" s="18" t="s">
        <v>68</v>
      </c>
      <c r="D7" s="20">
        <v>1.2</v>
      </c>
      <c r="E7" s="18" t="s">
        <v>70</v>
      </c>
      <c r="F7" s="18" t="s">
        <v>71</v>
      </c>
      <c r="G7" s="18" t="s">
        <v>72</v>
      </c>
      <c r="H7" s="18" t="s">
        <v>73</v>
      </c>
      <c r="I7" s="18" t="s">
        <v>74</v>
      </c>
      <c r="J7" s="18" t="s">
        <v>62</v>
      </c>
    </row>
    <row r="8" ht="63.75" customHeight="1">
      <c r="A8" s="11" t="s">
        <v>75</v>
      </c>
      <c r="B8" s="11" t="s">
        <v>41</v>
      </c>
      <c r="C8" s="11" t="s">
        <v>76</v>
      </c>
      <c r="D8" s="13">
        <v>1.2</v>
      </c>
      <c r="E8" s="11" t="s">
        <v>77</v>
      </c>
      <c r="F8" s="11" t="s">
        <v>78</v>
      </c>
      <c r="G8" s="11" t="s">
        <v>79</v>
      </c>
      <c r="H8" s="11" t="s">
        <v>80</v>
      </c>
      <c r="I8" s="11" t="s">
        <v>81</v>
      </c>
      <c r="J8" s="11" t="s">
        <v>62</v>
      </c>
    </row>
    <row r="9" ht="63.75" customHeight="1">
      <c r="A9" s="18" t="s">
        <v>82</v>
      </c>
      <c r="B9" s="18" t="s">
        <v>41</v>
      </c>
      <c r="C9" s="18" t="s">
        <v>83</v>
      </c>
      <c r="D9" s="20">
        <v>1.2</v>
      </c>
      <c r="E9" s="18" t="s">
        <v>86</v>
      </c>
      <c r="F9" s="18" t="s">
        <v>87</v>
      </c>
      <c r="G9" s="18" t="s">
        <v>88</v>
      </c>
      <c r="H9" s="18" t="s">
        <v>89</v>
      </c>
      <c r="I9" s="18" t="s">
        <v>90</v>
      </c>
      <c r="J9" s="18" t="s">
        <v>62</v>
      </c>
    </row>
    <row r="10" ht="63.75" customHeight="1">
      <c r="A10" s="11" t="s">
        <v>91</v>
      </c>
      <c r="B10" s="11" t="s">
        <v>41</v>
      </c>
      <c r="C10" s="11" t="s">
        <v>92</v>
      </c>
      <c r="D10" s="13">
        <v>1.2</v>
      </c>
      <c r="E10" s="11" t="s">
        <v>93</v>
      </c>
      <c r="F10" s="11" t="s">
        <v>94</v>
      </c>
      <c r="G10" s="11" t="s">
        <v>95</v>
      </c>
      <c r="H10" s="11" t="s">
        <v>96</v>
      </c>
      <c r="I10" s="11" t="s">
        <v>97</v>
      </c>
      <c r="J10" s="11" t="s">
        <v>62</v>
      </c>
    </row>
    <row r="11" ht="63.75" customHeight="1">
      <c r="A11" s="18" t="s">
        <v>100</v>
      </c>
      <c r="B11" s="18" t="s">
        <v>85</v>
      </c>
      <c r="C11" s="18" t="s">
        <v>101</v>
      </c>
      <c r="D11" s="20">
        <v>2.4</v>
      </c>
      <c r="E11" s="18" t="s">
        <v>102</v>
      </c>
      <c r="F11" s="18" t="s">
        <v>103</v>
      </c>
      <c r="G11" s="18" t="s">
        <v>104</v>
      </c>
      <c r="H11" s="18" t="s">
        <v>105</v>
      </c>
      <c r="I11" s="18" t="s">
        <v>106</v>
      </c>
      <c r="J11" s="18" t="s">
        <v>62</v>
      </c>
    </row>
    <row r="12" ht="63.75" customHeight="1">
      <c r="A12" s="11" t="s">
        <v>107</v>
      </c>
      <c r="B12" s="11" t="s">
        <v>85</v>
      </c>
      <c r="C12" s="11" t="s">
        <v>110</v>
      </c>
      <c r="D12" s="13">
        <v>2.4</v>
      </c>
      <c r="E12" s="11" t="s">
        <v>111</v>
      </c>
      <c r="F12" s="11" t="s">
        <v>112</v>
      </c>
      <c r="G12" s="11" t="s">
        <v>113</v>
      </c>
      <c r="H12" s="11" t="s">
        <v>114</v>
      </c>
      <c r="I12" s="11" t="s">
        <v>115</v>
      </c>
      <c r="J12" s="11" t="s">
        <v>62</v>
      </c>
    </row>
    <row r="13" ht="63.75" customHeight="1">
      <c r="A13" s="18" t="s">
        <v>116</v>
      </c>
      <c r="B13" s="18" t="s">
        <v>85</v>
      </c>
      <c r="C13" s="18" t="s">
        <v>117</v>
      </c>
      <c r="D13" s="20">
        <v>2.4</v>
      </c>
      <c r="E13" s="18" t="s">
        <v>118</v>
      </c>
      <c r="F13" s="18" t="s">
        <v>121</v>
      </c>
      <c r="G13" s="18" t="s">
        <v>122</v>
      </c>
      <c r="H13" s="18" t="s">
        <v>123</v>
      </c>
      <c r="I13" s="18" t="s">
        <v>124</v>
      </c>
      <c r="J13" s="18" t="s">
        <v>62</v>
      </c>
    </row>
    <row r="14" ht="63.75" customHeight="1">
      <c r="A14" s="11" t="s">
        <v>125</v>
      </c>
      <c r="B14" s="11" t="s">
        <v>85</v>
      </c>
      <c r="C14" s="11" t="s">
        <v>126</v>
      </c>
      <c r="D14" s="13">
        <v>2.4</v>
      </c>
      <c r="E14" s="11" t="s">
        <v>127</v>
      </c>
      <c r="F14" s="11" t="s">
        <v>128</v>
      </c>
      <c r="G14" s="11" t="s">
        <v>129</v>
      </c>
      <c r="H14" s="11" t="s">
        <v>130</v>
      </c>
      <c r="I14" s="11" t="s">
        <v>131</v>
      </c>
      <c r="J14" s="11" t="s">
        <v>62</v>
      </c>
    </row>
    <row r="15" ht="63.75" customHeight="1">
      <c r="A15" s="18" t="s">
        <v>134</v>
      </c>
      <c r="B15" s="18" t="s">
        <v>85</v>
      </c>
      <c r="C15" s="18" t="s">
        <v>135</v>
      </c>
      <c r="D15" s="20">
        <v>2.4</v>
      </c>
      <c r="E15" s="18" t="s">
        <v>136</v>
      </c>
      <c r="F15" s="18" t="s">
        <v>137</v>
      </c>
      <c r="G15" s="18" t="s">
        <v>138</v>
      </c>
      <c r="H15" s="18" t="s">
        <v>139</v>
      </c>
      <c r="I15" s="18" t="s">
        <v>140</v>
      </c>
      <c r="J15" s="18" t="s">
        <v>62</v>
      </c>
    </row>
    <row r="16" ht="63.75" customHeight="1">
      <c r="A16" s="11" t="s">
        <v>143</v>
      </c>
      <c r="B16" s="11" t="s">
        <v>99</v>
      </c>
      <c r="C16" s="11" t="s">
        <v>144</v>
      </c>
      <c r="D16" s="13">
        <v>2.0</v>
      </c>
      <c r="E16" s="11" t="s">
        <v>145</v>
      </c>
      <c r="F16" s="11" t="s">
        <v>146</v>
      </c>
      <c r="G16" s="11" t="s">
        <v>147</v>
      </c>
      <c r="H16" s="11" t="s">
        <v>148</v>
      </c>
      <c r="I16" s="11" t="s">
        <v>149</v>
      </c>
      <c r="J16" s="11" t="s">
        <v>62</v>
      </c>
    </row>
    <row r="17" ht="63.75" customHeight="1">
      <c r="A17" s="18" t="s">
        <v>150</v>
      </c>
      <c r="B17" s="18" t="s">
        <v>99</v>
      </c>
      <c r="C17" s="18" t="s">
        <v>153</v>
      </c>
      <c r="D17" s="20">
        <v>2.0</v>
      </c>
      <c r="E17" s="18" t="s">
        <v>154</v>
      </c>
      <c r="F17" s="18" t="s">
        <v>155</v>
      </c>
      <c r="G17" s="18" t="s">
        <v>156</v>
      </c>
      <c r="H17" s="18" t="s">
        <v>157</v>
      </c>
      <c r="I17" s="18" t="s">
        <v>158</v>
      </c>
      <c r="J17" s="18" t="s">
        <v>62</v>
      </c>
    </row>
    <row r="18" ht="63.75" customHeight="1">
      <c r="A18" s="11" t="s">
        <v>159</v>
      </c>
      <c r="B18" s="11" t="s">
        <v>99</v>
      </c>
      <c r="C18" s="11" t="s">
        <v>160</v>
      </c>
      <c r="D18" s="13">
        <v>2.0</v>
      </c>
      <c r="E18" s="11" t="s">
        <v>163</v>
      </c>
      <c r="F18" s="11" t="s">
        <v>164</v>
      </c>
      <c r="G18" s="11" t="s">
        <v>165</v>
      </c>
      <c r="H18" s="11" t="s">
        <v>166</v>
      </c>
      <c r="I18" s="11" t="s">
        <v>167</v>
      </c>
      <c r="J18" s="11" t="s">
        <v>62</v>
      </c>
    </row>
    <row r="19" ht="63.75" customHeight="1">
      <c r="A19" s="18" t="s">
        <v>168</v>
      </c>
      <c r="B19" s="18" t="s">
        <v>99</v>
      </c>
      <c r="C19" s="18" t="s">
        <v>169</v>
      </c>
      <c r="D19" s="20">
        <v>2.0</v>
      </c>
      <c r="E19" s="18" t="s">
        <v>172</v>
      </c>
      <c r="F19" s="18" t="s">
        <v>173</v>
      </c>
      <c r="G19" s="18" t="s">
        <v>174</v>
      </c>
      <c r="H19" s="18" t="s">
        <v>175</v>
      </c>
      <c r="I19" s="18" t="s">
        <v>176</v>
      </c>
      <c r="J19" s="18" t="s">
        <v>62</v>
      </c>
    </row>
    <row r="20" ht="63.75" customHeight="1">
      <c r="A20" s="11" t="s">
        <v>177</v>
      </c>
      <c r="B20" s="11" t="s">
        <v>99</v>
      </c>
      <c r="C20" s="11" t="s">
        <v>178</v>
      </c>
      <c r="D20" s="13">
        <v>2.0</v>
      </c>
      <c r="E20" s="11" t="s">
        <v>179</v>
      </c>
      <c r="F20" s="11" t="s">
        <v>180</v>
      </c>
      <c r="G20" s="11" t="s">
        <v>181</v>
      </c>
      <c r="H20" s="11" t="s">
        <v>183</v>
      </c>
      <c r="I20" s="11" t="s">
        <v>185</v>
      </c>
      <c r="J20" s="11" t="s">
        <v>62</v>
      </c>
    </row>
    <row r="21" ht="63.75" customHeight="1">
      <c r="A21" s="18" t="s">
        <v>186</v>
      </c>
      <c r="B21" s="18" t="s">
        <v>109</v>
      </c>
      <c r="C21" s="18" t="s">
        <v>187</v>
      </c>
      <c r="D21" s="20">
        <v>2.8</v>
      </c>
      <c r="E21" s="18" t="s">
        <v>188</v>
      </c>
      <c r="F21" s="18" t="s">
        <v>189</v>
      </c>
      <c r="G21" s="18" t="s">
        <v>190</v>
      </c>
      <c r="H21" s="18" t="s">
        <v>191</v>
      </c>
      <c r="I21" s="18" t="s">
        <v>192</v>
      </c>
      <c r="J21" s="18" t="s">
        <v>62</v>
      </c>
    </row>
    <row r="22" ht="63.75" customHeight="1">
      <c r="A22" s="11" t="s">
        <v>195</v>
      </c>
      <c r="B22" s="11" t="s">
        <v>109</v>
      </c>
      <c r="C22" s="11" t="s">
        <v>196</v>
      </c>
      <c r="D22" s="13">
        <v>2.8</v>
      </c>
      <c r="E22" s="11" t="s">
        <v>197</v>
      </c>
      <c r="F22" s="11" t="s">
        <v>198</v>
      </c>
      <c r="G22" s="11" t="s">
        <v>199</v>
      </c>
      <c r="H22" s="11" t="s">
        <v>200</v>
      </c>
      <c r="I22" s="11" t="s">
        <v>201</v>
      </c>
      <c r="J22" s="11" t="s">
        <v>62</v>
      </c>
    </row>
    <row r="23" ht="63.75" customHeight="1">
      <c r="A23" s="18" t="s">
        <v>202</v>
      </c>
      <c r="B23" s="18" t="s">
        <v>109</v>
      </c>
      <c r="C23" s="18" t="s">
        <v>204</v>
      </c>
      <c r="D23" s="20">
        <v>2.8</v>
      </c>
      <c r="E23" s="18" t="s">
        <v>205</v>
      </c>
      <c r="F23" s="18" t="s">
        <v>206</v>
      </c>
      <c r="G23" s="18" t="s">
        <v>207</v>
      </c>
      <c r="H23" s="18" t="s">
        <v>208</v>
      </c>
      <c r="I23" s="18" t="s">
        <v>209</v>
      </c>
      <c r="J23" s="18" t="s">
        <v>62</v>
      </c>
    </row>
    <row r="24" ht="63.75" customHeight="1">
      <c r="A24" s="11" t="s">
        <v>210</v>
      </c>
      <c r="B24" s="11" t="s">
        <v>109</v>
      </c>
      <c r="C24" s="11" t="s">
        <v>211</v>
      </c>
      <c r="D24" s="13">
        <v>2.8</v>
      </c>
      <c r="E24" s="11" t="s">
        <v>212</v>
      </c>
      <c r="F24" s="11" t="s">
        <v>216</v>
      </c>
      <c r="G24" s="11" t="s">
        <v>217</v>
      </c>
      <c r="H24" s="11" t="s">
        <v>219</v>
      </c>
      <c r="I24" s="11" t="s">
        <v>220</v>
      </c>
      <c r="J24" s="11" t="s">
        <v>62</v>
      </c>
    </row>
    <row r="25" ht="63.75" customHeight="1">
      <c r="A25" s="18" t="s">
        <v>221</v>
      </c>
      <c r="B25" s="18" t="s">
        <v>109</v>
      </c>
      <c r="C25" s="18" t="s">
        <v>222</v>
      </c>
      <c r="D25" s="20">
        <v>2.8</v>
      </c>
      <c r="E25" s="18" t="s">
        <v>223</v>
      </c>
      <c r="F25" s="18" t="s">
        <v>225</v>
      </c>
      <c r="G25" s="18" t="s">
        <v>226</v>
      </c>
      <c r="H25" s="18" t="s">
        <v>227</v>
      </c>
      <c r="I25" s="18" t="s">
        <v>228</v>
      </c>
      <c r="J25" s="18" t="s">
        <v>62</v>
      </c>
    </row>
    <row r="26" ht="63.75" customHeight="1">
      <c r="A26" s="11" t="s">
        <v>229</v>
      </c>
      <c r="B26" s="11" t="s">
        <v>120</v>
      </c>
      <c r="C26" s="11" t="s">
        <v>230</v>
      </c>
      <c r="D26" s="13">
        <v>1.6</v>
      </c>
      <c r="E26" s="11" t="s">
        <v>231</v>
      </c>
      <c r="F26" s="11" t="s">
        <v>232</v>
      </c>
      <c r="G26" s="11" t="s">
        <v>233</v>
      </c>
      <c r="H26" s="11" t="s">
        <v>234</v>
      </c>
      <c r="I26" s="11" t="s">
        <v>236</v>
      </c>
      <c r="J26" s="11" t="s">
        <v>62</v>
      </c>
    </row>
    <row r="27" ht="63.75" customHeight="1">
      <c r="A27" s="18" t="s">
        <v>237</v>
      </c>
      <c r="B27" s="18" t="s">
        <v>120</v>
      </c>
      <c r="C27" s="18" t="s">
        <v>238</v>
      </c>
      <c r="D27" s="20">
        <v>1.6</v>
      </c>
      <c r="E27" s="18" t="s">
        <v>239</v>
      </c>
      <c r="F27" s="18" t="s">
        <v>240</v>
      </c>
      <c r="G27" s="18" t="s">
        <v>241</v>
      </c>
      <c r="H27" s="18" t="s">
        <v>243</v>
      </c>
      <c r="I27" s="18" t="s">
        <v>245</v>
      </c>
      <c r="J27" s="18" t="s">
        <v>62</v>
      </c>
    </row>
    <row r="28" ht="63.75" customHeight="1">
      <c r="A28" s="11" t="s">
        <v>248</v>
      </c>
      <c r="B28" s="11" t="s">
        <v>120</v>
      </c>
      <c r="C28" s="11" t="s">
        <v>250</v>
      </c>
      <c r="D28" s="13">
        <v>1.6</v>
      </c>
      <c r="E28" s="11" t="s">
        <v>251</v>
      </c>
      <c r="F28" s="11" t="s">
        <v>253</v>
      </c>
      <c r="G28" s="11" t="s">
        <v>254</v>
      </c>
      <c r="H28" s="11" t="s">
        <v>255</v>
      </c>
      <c r="I28" s="11" t="s">
        <v>256</v>
      </c>
      <c r="J28" s="11" t="s">
        <v>62</v>
      </c>
    </row>
    <row r="29" ht="63.75" customHeight="1">
      <c r="A29" s="18" t="s">
        <v>258</v>
      </c>
      <c r="B29" s="18" t="s">
        <v>120</v>
      </c>
      <c r="C29" s="18" t="s">
        <v>259</v>
      </c>
      <c r="D29" s="20">
        <v>1.6</v>
      </c>
      <c r="E29" s="18" t="s">
        <v>260</v>
      </c>
      <c r="F29" s="18" t="s">
        <v>261</v>
      </c>
      <c r="G29" s="18" t="s">
        <v>263</v>
      </c>
      <c r="H29" s="18" t="s">
        <v>265</v>
      </c>
      <c r="I29" s="18" t="s">
        <v>266</v>
      </c>
      <c r="J29" s="18" t="s">
        <v>62</v>
      </c>
    </row>
    <row r="30" ht="63.75" customHeight="1">
      <c r="A30" s="11" t="s">
        <v>267</v>
      </c>
      <c r="B30" s="11" t="s">
        <v>120</v>
      </c>
      <c r="C30" s="11" t="s">
        <v>269</v>
      </c>
      <c r="D30" s="13">
        <v>1.6</v>
      </c>
      <c r="E30" s="11" t="s">
        <v>270</v>
      </c>
      <c r="F30" s="11" t="s">
        <v>271</v>
      </c>
      <c r="G30" s="11" t="s">
        <v>272</v>
      </c>
      <c r="H30" s="11" t="s">
        <v>273</v>
      </c>
      <c r="I30" s="11" t="s">
        <v>274</v>
      </c>
      <c r="J30" s="11" t="s">
        <v>62</v>
      </c>
    </row>
    <row r="31" ht="63.75" customHeight="1">
      <c r="A31" s="18" t="s">
        <v>275</v>
      </c>
      <c r="B31" s="18" t="s">
        <v>133</v>
      </c>
      <c r="C31" s="18" t="s">
        <v>276</v>
      </c>
      <c r="D31" s="20">
        <v>1.2</v>
      </c>
      <c r="E31" s="18" t="s">
        <v>277</v>
      </c>
      <c r="F31" s="18" t="s">
        <v>278</v>
      </c>
      <c r="G31" s="18" t="s">
        <v>279</v>
      </c>
      <c r="H31" s="18" t="s">
        <v>280</v>
      </c>
      <c r="I31" s="18" t="s">
        <v>281</v>
      </c>
      <c r="J31" s="18" t="s">
        <v>62</v>
      </c>
    </row>
    <row r="32" ht="63.75" customHeight="1">
      <c r="A32" s="11" t="s">
        <v>282</v>
      </c>
      <c r="B32" s="11" t="s">
        <v>133</v>
      </c>
      <c r="C32" s="11" t="s">
        <v>283</v>
      </c>
      <c r="D32" s="13">
        <v>1.2</v>
      </c>
      <c r="E32" s="11" t="s">
        <v>284</v>
      </c>
      <c r="F32" s="11" t="s">
        <v>285</v>
      </c>
      <c r="G32" s="11" t="s">
        <v>286</v>
      </c>
      <c r="H32" s="11" t="s">
        <v>287</v>
      </c>
      <c r="I32" s="11" t="s">
        <v>288</v>
      </c>
      <c r="J32" s="11" t="s">
        <v>62</v>
      </c>
    </row>
    <row r="33" ht="63.75" customHeight="1">
      <c r="A33" s="18" t="s">
        <v>289</v>
      </c>
      <c r="B33" s="18" t="s">
        <v>133</v>
      </c>
      <c r="C33" s="18" t="s">
        <v>292</v>
      </c>
      <c r="D33" s="20">
        <v>1.2</v>
      </c>
      <c r="E33" s="18" t="s">
        <v>293</v>
      </c>
      <c r="F33" s="18" t="s">
        <v>294</v>
      </c>
      <c r="G33" s="18" t="s">
        <v>295</v>
      </c>
      <c r="H33" s="18" t="s">
        <v>296</v>
      </c>
      <c r="I33" s="18" t="s">
        <v>297</v>
      </c>
      <c r="J33" s="18" t="s">
        <v>62</v>
      </c>
    </row>
    <row r="34" ht="63.75" customHeight="1">
      <c r="A34" s="11" t="s">
        <v>298</v>
      </c>
      <c r="B34" s="11" t="s">
        <v>133</v>
      </c>
      <c r="C34" s="11" t="s">
        <v>299</v>
      </c>
      <c r="D34" s="13">
        <v>1.2</v>
      </c>
      <c r="E34" s="11" t="s">
        <v>300</v>
      </c>
      <c r="F34" s="11" t="s">
        <v>301</v>
      </c>
      <c r="G34" s="11" t="s">
        <v>302</v>
      </c>
      <c r="H34" s="11" t="s">
        <v>303</v>
      </c>
      <c r="I34" s="11" t="s">
        <v>304</v>
      </c>
      <c r="J34" s="11" t="s">
        <v>62</v>
      </c>
    </row>
    <row r="35" ht="63.75" customHeight="1">
      <c r="A35" s="18" t="s">
        <v>305</v>
      </c>
      <c r="B35" s="18" t="s">
        <v>133</v>
      </c>
      <c r="C35" s="18" t="s">
        <v>306</v>
      </c>
      <c r="D35" s="20">
        <v>1.2</v>
      </c>
      <c r="E35" s="18" t="s">
        <v>307</v>
      </c>
      <c r="F35" s="18" t="s">
        <v>308</v>
      </c>
      <c r="G35" s="18" t="s">
        <v>309</v>
      </c>
      <c r="H35" s="18" t="s">
        <v>310</v>
      </c>
      <c r="I35" s="18" t="s">
        <v>311</v>
      </c>
      <c r="J35" s="18" t="s">
        <v>62</v>
      </c>
    </row>
    <row r="36" ht="63.75" customHeight="1">
      <c r="A36" s="11" t="s">
        <v>312</v>
      </c>
      <c r="B36" s="11" t="s">
        <v>142</v>
      </c>
      <c r="C36" s="11" t="s">
        <v>313</v>
      </c>
      <c r="D36" s="13">
        <v>1.0</v>
      </c>
      <c r="E36" s="11" t="s">
        <v>314</v>
      </c>
      <c r="F36" s="11" t="s">
        <v>315</v>
      </c>
      <c r="G36" s="11" t="s">
        <v>316</v>
      </c>
      <c r="H36" s="11" t="s">
        <v>317</v>
      </c>
      <c r="I36" s="11" t="s">
        <v>318</v>
      </c>
      <c r="J36" s="11" t="s">
        <v>62</v>
      </c>
    </row>
    <row r="37" ht="63.75" customHeight="1">
      <c r="A37" s="18" t="s">
        <v>319</v>
      </c>
      <c r="B37" s="18" t="s">
        <v>142</v>
      </c>
      <c r="C37" s="18" t="s">
        <v>320</v>
      </c>
      <c r="D37" s="20">
        <v>1.0</v>
      </c>
      <c r="E37" s="18" t="s">
        <v>321</v>
      </c>
      <c r="F37" s="18" t="s">
        <v>322</v>
      </c>
      <c r="G37" s="18" t="s">
        <v>323</v>
      </c>
      <c r="H37" s="18" t="s">
        <v>324</v>
      </c>
      <c r="I37" s="18" t="s">
        <v>325</v>
      </c>
      <c r="J37" s="18" t="s">
        <v>62</v>
      </c>
    </row>
    <row r="38" ht="63.75" customHeight="1">
      <c r="A38" s="11" t="s">
        <v>326</v>
      </c>
      <c r="B38" s="11" t="s">
        <v>142</v>
      </c>
      <c r="C38" s="11" t="s">
        <v>327</v>
      </c>
      <c r="D38" s="13">
        <v>1.0</v>
      </c>
      <c r="E38" s="11" t="s">
        <v>328</v>
      </c>
      <c r="F38" s="11" t="s">
        <v>329</v>
      </c>
      <c r="G38" s="11" t="s">
        <v>330</v>
      </c>
      <c r="H38" s="11" t="s">
        <v>331</v>
      </c>
      <c r="I38" s="11" t="s">
        <v>332</v>
      </c>
      <c r="J38" s="11" t="s">
        <v>62</v>
      </c>
    </row>
    <row r="39" ht="63.75" customHeight="1">
      <c r="A39" s="18" t="s">
        <v>333</v>
      </c>
      <c r="B39" s="18" t="s">
        <v>142</v>
      </c>
      <c r="C39" s="18" t="s">
        <v>334</v>
      </c>
      <c r="D39" s="20">
        <v>1.0</v>
      </c>
      <c r="E39" s="18" t="s">
        <v>337</v>
      </c>
      <c r="F39" s="18" t="s">
        <v>340</v>
      </c>
      <c r="G39" s="18" t="s">
        <v>342</v>
      </c>
      <c r="H39" s="18" t="s">
        <v>346</v>
      </c>
      <c r="I39" s="18" t="s">
        <v>351</v>
      </c>
      <c r="J39" s="18" t="s">
        <v>62</v>
      </c>
    </row>
    <row r="40" ht="63.75" customHeight="1">
      <c r="A40" s="11" t="s">
        <v>359</v>
      </c>
      <c r="B40" s="11" t="s">
        <v>142</v>
      </c>
      <c r="C40" s="11" t="s">
        <v>365</v>
      </c>
      <c r="D40" s="13">
        <v>1.0</v>
      </c>
      <c r="E40" s="11" t="s">
        <v>374</v>
      </c>
      <c r="F40" s="11" t="s">
        <v>379</v>
      </c>
      <c r="G40" s="11" t="s">
        <v>384</v>
      </c>
      <c r="H40" s="11" t="s">
        <v>386</v>
      </c>
      <c r="I40" s="11" t="s">
        <v>387</v>
      </c>
      <c r="J40" s="11" t="s">
        <v>62</v>
      </c>
    </row>
    <row r="41" ht="63.75" customHeight="1">
      <c r="A41" s="18" t="s">
        <v>388</v>
      </c>
      <c r="B41" s="18" t="s">
        <v>152</v>
      </c>
      <c r="C41" s="18" t="s">
        <v>389</v>
      </c>
      <c r="D41" s="20">
        <v>2.0</v>
      </c>
      <c r="E41" s="18" t="s">
        <v>390</v>
      </c>
      <c r="F41" s="18" t="s">
        <v>391</v>
      </c>
      <c r="G41" s="18" t="s">
        <v>392</v>
      </c>
      <c r="H41" s="18" t="s">
        <v>393</v>
      </c>
      <c r="I41" s="18" t="s">
        <v>394</v>
      </c>
      <c r="J41" s="18" t="s">
        <v>62</v>
      </c>
    </row>
    <row r="42" ht="63.75" customHeight="1">
      <c r="A42" s="11" t="s">
        <v>395</v>
      </c>
      <c r="B42" s="11" t="s">
        <v>152</v>
      </c>
      <c r="C42" s="11" t="s">
        <v>396</v>
      </c>
      <c r="D42" s="13">
        <v>2.0</v>
      </c>
      <c r="E42" s="11" t="s">
        <v>397</v>
      </c>
      <c r="F42" s="11" t="s">
        <v>398</v>
      </c>
      <c r="G42" s="11" t="s">
        <v>399</v>
      </c>
      <c r="H42" s="11" t="s">
        <v>400</v>
      </c>
      <c r="I42" s="11" t="s">
        <v>401</v>
      </c>
      <c r="J42" s="11" t="s">
        <v>62</v>
      </c>
    </row>
    <row r="43" ht="63.75" customHeight="1">
      <c r="A43" s="18" t="s">
        <v>402</v>
      </c>
      <c r="B43" s="18" t="s">
        <v>152</v>
      </c>
      <c r="C43" s="18" t="s">
        <v>403</v>
      </c>
      <c r="D43" s="20">
        <v>2.0</v>
      </c>
      <c r="E43" s="18" t="s">
        <v>404</v>
      </c>
      <c r="F43" s="18" t="s">
        <v>405</v>
      </c>
      <c r="G43" s="18" t="s">
        <v>406</v>
      </c>
      <c r="H43" s="18" t="s">
        <v>407</v>
      </c>
      <c r="I43" s="18" t="s">
        <v>408</v>
      </c>
      <c r="J43" s="18" t="s">
        <v>62</v>
      </c>
    </row>
    <row r="44" ht="63.75" customHeight="1">
      <c r="A44" s="11" t="s">
        <v>409</v>
      </c>
      <c r="B44" s="11" t="s">
        <v>152</v>
      </c>
      <c r="C44" s="11" t="s">
        <v>412</v>
      </c>
      <c r="D44" s="13">
        <v>2.0</v>
      </c>
      <c r="E44" s="11" t="s">
        <v>417</v>
      </c>
      <c r="F44" s="11" t="s">
        <v>420</v>
      </c>
      <c r="G44" s="11" t="s">
        <v>422</v>
      </c>
      <c r="H44" s="11" t="s">
        <v>424</v>
      </c>
      <c r="I44" s="11" t="s">
        <v>428</v>
      </c>
      <c r="J44" s="11" t="s">
        <v>62</v>
      </c>
    </row>
    <row r="45" ht="63.75" customHeight="1">
      <c r="A45" s="18" t="s">
        <v>436</v>
      </c>
      <c r="B45" s="18" t="s">
        <v>152</v>
      </c>
      <c r="C45" s="18" t="s">
        <v>442</v>
      </c>
      <c r="D45" s="20">
        <v>2.0</v>
      </c>
      <c r="E45" s="18" t="s">
        <v>449</v>
      </c>
      <c r="F45" s="18" t="s">
        <v>451</v>
      </c>
      <c r="G45" s="18" t="s">
        <v>456</v>
      </c>
      <c r="H45" s="18" t="s">
        <v>459</v>
      </c>
      <c r="I45" s="18" t="s">
        <v>462</v>
      </c>
      <c r="J45" s="18" t="s">
        <v>62</v>
      </c>
    </row>
    <row r="46" ht="63.75" customHeight="1">
      <c r="A46" s="11" t="s">
        <v>469</v>
      </c>
      <c r="B46" s="11" t="s">
        <v>162</v>
      </c>
      <c r="C46" s="11" t="s">
        <v>470</v>
      </c>
      <c r="D46" s="13">
        <v>1.6</v>
      </c>
      <c r="E46" s="11" t="s">
        <v>471</v>
      </c>
      <c r="F46" s="11" t="s">
        <v>472</v>
      </c>
      <c r="G46" s="11" t="s">
        <v>473</v>
      </c>
      <c r="H46" s="11" t="s">
        <v>474</v>
      </c>
      <c r="I46" s="11" t="s">
        <v>475</v>
      </c>
      <c r="J46" s="11" t="s">
        <v>62</v>
      </c>
    </row>
    <row r="47" ht="63.75" customHeight="1">
      <c r="A47" s="18" t="s">
        <v>476</v>
      </c>
      <c r="B47" s="18" t="s">
        <v>162</v>
      </c>
      <c r="C47" s="18" t="s">
        <v>477</v>
      </c>
      <c r="D47" s="20">
        <v>1.6</v>
      </c>
      <c r="E47" s="18" t="s">
        <v>478</v>
      </c>
      <c r="F47" s="18" t="s">
        <v>479</v>
      </c>
      <c r="G47" s="18" t="s">
        <v>480</v>
      </c>
      <c r="H47" s="18" t="s">
        <v>481</v>
      </c>
      <c r="I47" s="18" t="s">
        <v>482</v>
      </c>
      <c r="J47" s="18" t="s">
        <v>62</v>
      </c>
    </row>
    <row r="48" ht="63.75" customHeight="1">
      <c r="A48" s="11" t="s">
        <v>483</v>
      </c>
      <c r="B48" s="11" t="s">
        <v>162</v>
      </c>
      <c r="C48" s="11" t="s">
        <v>484</v>
      </c>
      <c r="D48" s="13">
        <v>1.6</v>
      </c>
      <c r="E48" s="11" t="s">
        <v>485</v>
      </c>
      <c r="F48" s="11" t="s">
        <v>486</v>
      </c>
      <c r="G48" s="11" t="s">
        <v>487</v>
      </c>
      <c r="H48" s="11" t="s">
        <v>488</v>
      </c>
      <c r="I48" s="11" t="s">
        <v>489</v>
      </c>
      <c r="J48" s="11" t="s">
        <v>62</v>
      </c>
    </row>
    <row r="49" ht="63.75" customHeight="1">
      <c r="A49" s="18" t="s">
        <v>490</v>
      </c>
      <c r="B49" s="18" t="s">
        <v>162</v>
      </c>
      <c r="C49" s="18" t="s">
        <v>491</v>
      </c>
      <c r="D49" s="20">
        <v>1.6</v>
      </c>
      <c r="E49" s="18" t="s">
        <v>492</v>
      </c>
      <c r="F49" s="18" t="s">
        <v>493</v>
      </c>
      <c r="G49" s="18" t="s">
        <v>494</v>
      </c>
      <c r="H49" s="18" t="s">
        <v>495</v>
      </c>
      <c r="I49" s="18" t="s">
        <v>496</v>
      </c>
      <c r="J49" s="18" t="s">
        <v>62</v>
      </c>
    </row>
    <row r="50" ht="63.75" customHeight="1">
      <c r="A50" s="11" t="s">
        <v>497</v>
      </c>
      <c r="B50" s="11" t="s">
        <v>162</v>
      </c>
      <c r="C50" s="11" t="s">
        <v>498</v>
      </c>
      <c r="D50" s="13">
        <v>1.6</v>
      </c>
      <c r="E50" s="11" t="s">
        <v>499</v>
      </c>
      <c r="F50" s="11" t="s">
        <v>500</v>
      </c>
      <c r="G50" s="11" t="s">
        <v>501</v>
      </c>
      <c r="H50" s="11" t="s">
        <v>502</v>
      </c>
      <c r="I50" s="11" t="s">
        <v>503</v>
      </c>
      <c r="J50" s="11" t="s">
        <v>62</v>
      </c>
    </row>
    <row r="51" ht="63.75" customHeight="1">
      <c r="A51" s="18" t="s">
        <v>504</v>
      </c>
      <c r="B51" s="18" t="s">
        <v>171</v>
      </c>
      <c r="C51" s="18" t="s">
        <v>505</v>
      </c>
      <c r="D51" s="20">
        <v>2.0</v>
      </c>
      <c r="E51" s="18" t="s">
        <v>506</v>
      </c>
      <c r="F51" s="18" t="s">
        <v>507</v>
      </c>
      <c r="G51" s="18" t="s">
        <v>508</v>
      </c>
      <c r="H51" s="18" t="s">
        <v>509</v>
      </c>
      <c r="I51" s="18" t="s">
        <v>510</v>
      </c>
      <c r="J51" s="18" t="s">
        <v>62</v>
      </c>
    </row>
    <row r="52" ht="63.75" customHeight="1">
      <c r="A52" s="11" t="s">
        <v>511</v>
      </c>
      <c r="B52" s="11" t="s">
        <v>171</v>
      </c>
      <c r="C52" s="11" t="s">
        <v>512</v>
      </c>
      <c r="D52" s="13">
        <v>2.0</v>
      </c>
      <c r="E52" s="11" t="s">
        <v>513</v>
      </c>
      <c r="F52" s="11" t="s">
        <v>514</v>
      </c>
      <c r="G52" s="11" t="s">
        <v>515</v>
      </c>
      <c r="H52" s="11" t="s">
        <v>516</v>
      </c>
      <c r="I52" s="11" t="s">
        <v>517</v>
      </c>
      <c r="J52" s="11" t="s">
        <v>62</v>
      </c>
    </row>
    <row r="53" ht="63.75" customHeight="1">
      <c r="A53" s="18" t="s">
        <v>518</v>
      </c>
      <c r="B53" s="18" t="s">
        <v>171</v>
      </c>
      <c r="C53" s="18" t="s">
        <v>519</v>
      </c>
      <c r="D53" s="20">
        <v>2.0</v>
      </c>
      <c r="E53" s="18" t="s">
        <v>520</v>
      </c>
      <c r="F53" s="18" t="s">
        <v>521</v>
      </c>
      <c r="G53" s="18" t="s">
        <v>522</v>
      </c>
      <c r="H53" s="18" t="s">
        <v>523</v>
      </c>
      <c r="I53" s="18" t="s">
        <v>524</v>
      </c>
      <c r="J53" s="18" t="s">
        <v>62</v>
      </c>
    </row>
    <row r="54" ht="63.75" customHeight="1">
      <c r="A54" s="11" t="s">
        <v>525</v>
      </c>
      <c r="B54" s="11" t="s">
        <v>171</v>
      </c>
      <c r="C54" s="11" t="s">
        <v>526</v>
      </c>
      <c r="D54" s="13">
        <v>2.0</v>
      </c>
      <c r="E54" s="11" t="s">
        <v>527</v>
      </c>
      <c r="F54" s="11" t="s">
        <v>528</v>
      </c>
      <c r="G54" s="11" t="s">
        <v>529</v>
      </c>
      <c r="H54" s="11" t="s">
        <v>530</v>
      </c>
      <c r="I54" s="11" t="s">
        <v>531</v>
      </c>
      <c r="J54" s="11" t="s">
        <v>62</v>
      </c>
    </row>
    <row r="55" ht="63.75" customHeight="1">
      <c r="A55" s="18" t="s">
        <v>532</v>
      </c>
      <c r="B55" s="18" t="s">
        <v>171</v>
      </c>
      <c r="C55" s="18" t="s">
        <v>533</v>
      </c>
      <c r="D55" s="20">
        <v>2.0</v>
      </c>
      <c r="E55" s="18" t="s">
        <v>534</v>
      </c>
      <c r="F55" s="18" t="s">
        <v>535</v>
      </c>
      <c r="G55" s="18" t="s">
        <v>536</v>
      </c>
      <c r="H55" s="18" t="s">
        <v>537</v>
      </c>
      <c r="I55" s="18" t="s">
        <v>538</v>
      </c>
      <c r="J55" s="18" t="s">
        <v>62</v>
      </c>
    </row>
    <row r="56" ht="63.75" customHeight="1">
      <c r="A56" s="11" t="s">
        <v>539</v>
      </c>
      <c r="B56" s="11" t="s">
        <v>184</v>
      </c>
      <c r="C56" s="11" t="s">
        <v>540</v>
      </c>
      <c r="D56" s="13">
        <v>1.2</v>
      </c>
      <c r="E56" s="11" t="s">
        <v>541</v>
      </c>
      <c r="F56" s="11" t="s">
        <v>542</v>
      </c>
      <c r="G56" s="11" t="s">
        <v>543</v>
      </c>
      <c r="H56" s="11" t="s">
        <v>544</v>
      </c>
      <c r="I56" s="11" t="s">
        <v>545</v>
      </c>
      <c r="J56" s="11" t="s">
        <v>62</v>
      </c>
    </row>
    <row r="57" ht="63.75" customHeight="1">
      <c r="A57" s="18" t="s">
        <v>546</v>
      </c>
      <c r="B57" s="18" t="s">
        <v>184</v>
      </c>
      <c r="C57" s="18" t="s">
        <v>547</v>
      </c>
      <c r="D57" s="20">
        <v>1.2</v>
      </c>
      <c r="E57" s="18" t="s">
        <v>548</v>
      </c>
      <c r="F57" s="18" t="s">
        <v>549</v>
      </c>
      <c r="G57" s="18" t="s">
        <v>550</v>
      </c>
      <c r="H57" s="18" t="s">
        <v>551</v>
      </c>
      <c r="I57" s="18" t="s">
        <v>552</v>
      </c>
      <c r="J57" s="18" t="s">
        <v>62</v>
      </c>
    </row>
    <row r="58" ht="63.75" customHeight="1">
      <c r="A58" s="11" t="s">
        <v>553</v>
      </c>
      <c r="B58" s="11" t="s">
        <v>184</v>
      </c>
      <c r="C58" s="11" t="s">
        <v>554</v>
      </c>
      <c r="D58" s="13">
        <v>1.2</v>
      </c>
      <c r="E58" s="11" t="s">
        <v>555</v>
      </c>
      <c r="F58" s="11" t="s">
        <v>556</v>
      </c>
      <c r="G58" s="11" t="s">
        <v>557</v>
      </c>
      <c r="H58" s="11" t="s">
        <v>558</v>
      </c>
      <c r="I58" s="11" t="s">
        <v>559</v>
      </c>
      <c r="J58" s="11" t="s">
        <v>62</v>
      </c>
    </row>
    <row r="59" ht="63.75" customHeight="1">
      <c r="A59" s="18" t="s">
        <v>560</v>
      </c>
      <c r="B59" s="18" t="s">
        <v>184</v>
      </c>
      <c r="C59" s="18" t="s">
        <v>561</v>
      </c>
      <c r="D59" s="20">
        <v>1.2</v>
      </c>
      <c r="E59" s="18" t="s">
        <v>562</v>
      </c>
      <c r="F59" s="18" t="s">
        <v>563</v>
      </c>
      <c r="G59" s="18" t="s">
        <v>564</v>
      </c>
      <c r="H59" s="18" t="s">
        <v>565</v>
      </c>
      <c r="I59" s="18" t="s">
        <v>566</v>
      </c>
      <c r="J59" s="18" t="s">
        <v>62</v>
      </c>
    </row>
    <row r="60" ht="63.75" customHeight="1">
      <c r="A60" s="11" t="s">
        <v>567</v>
      </c>
      <c r="B60" s="11" t="s">
        <v>184</v>
      </c>
      <c r="C60" s="11" t="s">
        <v>568</v>
      </c>
      <c r="D60" s="13">
        <v>1.2</v>
      </c>
      <c r="E60" s="11" t="s">
        <v>569</v>
      </c>
      <c r="F60" s="11" t="s">
        <v>570</v>
      </c>
      <c r="G60" s="11" t="s">
        <v>571</v>
      </c>
      <c r="H60" s="11" t="s">
        <v>572</v>
      </c>
      <c r="I60" s="11" t="s">
        <v>573</v>
      </c>
      <c r="J60" s="11" t="s">
        <v>62</v>
      </c>
    </row>
    <row r="61" ht="63.75" customHeight="1">
      <c r="A61" s="18" t="s">
        <v>574</v>
      </c>
      <c r="B61" s="18" t="s">
        <v>194</v>
      </c>
      <c r="C61" s="18" t="s">
        <v>575</v>
      </c>
      <c r="D61" s="20">
        <v>1.0</v>
      </c>
      <c r="E61" s="18" t="s">
        <v>576</v>
      </c>
      <c r="F61" s="18" t="s">
        <v>577</v>
      </c>
      <c r="G61" s="18" t="s">
        <v>578</v>
      </c>
      <c r="H61" s="18" t="s">
        <v>579</v>
      </c>
      <c r="I61" s="18" t="s">
        <v>580</v>
      </c>
      <c r="J61" s="18" t="s">
        <v>62</v>
      </c>
    </row>
    <row r="62" ht="63.75" customHeight="1">
      <c r="A62" s="11" t="s">
        <v>581</v>
      </c>
      <c r="B62" s="11" t="s">
        <v>194</v>
      </c>
      <c r="C62" s="11" t="s">
        <v>582</v>
      </c>
      <c r="D62" s="13">
        <v>1.0</v>
      </c>
      <c r="E62" s="11" t="s">
        <v>583</v>
      </c>
      <c r="F62" s="11" t="s">
        <v>584</v>
      </c>
      <c r="G62" s="11" t="s">
        <v>585</v>
      </c>
      <c r="H62" s="11" t="s">
        <v>586</v>
      </c>
      <c r="I62" s="11" t="s">
        <v>587</v>
      </c>
      <c r="J62" s="11" t="s">
        <v>62</v>
      </c>
    </row>
    <row r="63" ht="63.75" customHeight="1">
      <c r="A63" s="18" t="s">
        <v>588</v>
      </c>
      <c r="B63" s="18" t="s">
        <v>194</v>
      </c>
      <c r="C63" s="18" t="s">
        <v>589</v>
      </c>
      <c r="D63" s="20">
        <v>1.0</v>
      </c>
      <c r="E63" s="18" t="s">
        <v>590</v>
      </c>
      <c r="F63" s="18" t="s">
        <v>591</v>
      </c>
      <c r="G63" s="18" t="s">
        <v>592</v>
      </c>
      <c r="H63" s="18" t="s">
        <v>593</v>
      </c>
      <c r="I63" s="18" t="s">
        <v>594</v>
      </c>
      <c r="J63" s="18" t="s">
        <v>62</v>
      </c>
    </row>
    <row r="64" ht="63.75" customHeight="1">
      <c r="A64" s="11" t="s">
        <v>595</v>
      </c>
      <c r="B64" s="11" t="s">
        <v>194</v>
      </c>
      <c r="C64" s="11" t="s">
        <v>596</v>
      </c>
      <c r="D64" s="13">
        <v>1.0</v>
      </c>
      <c r="E64" s="11" t="s">
        <v>597</v>
      </c>
      <c r="F64" s="11" t="s">
        <v>598</v>
      </c>
      <c r="G64" s="11" t="s">
        <v>599</v>
      </c>
      <c r="H64" s="11" t="s">
        <v>600</v>
      </c>
      <c r="I64" s="11" t="s">
        <v>601</v>
      </c>
      <c r="J64" s="11" t="s">
        <v>62</v>
      </c>
    </row>
    <row r="65" ht="63.75" customHeight="1">
      <c r="A65" s="18" t="s">
        <v>602</v>
      </c>
      <c r="B65" s="18" t="s">
        <v>194</v>
      </c>
      <c r="C65" s="18" t="s">
        <v>603</v>
      </c>
      <c r="D65" s="20">
        <v>1.0</v>
      </c>
      <c r="E65" s="18" t="s">
        <v>604</v>
      </c>
      <c r="F65" s="18" t="s">
        <v>605</v>
      </c>
      <c r="G65" s="18" t="s">
        <v>606</v>
      </c>
      <c r="H65" s="18" t="s">
        <v>607</v>
      </c>
      <c r="I65" s="18" t="s">
        <v>608</v>
      </c>
      <c r="J65" s="18" t="s">
        <v>62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8.13"/>
    <col customWidth="1" min="2" max="2" width="27.5"/>
    <col customWidth="1" min="3" max="3" width="37.5"/>
    <col customWidth="1" min="4" max="4" width="62.5"/>
    <col customWidth="1" min="5" max="5" width="43.75"/>
    <col customWidth="1" min="6" max="6" width="63.75"/>
    <col customWidth="1" min="7" max="7" width="15.0"/>
    <col customWidth="1" min="8" max="8" width="46.25"/>
    <col customWidth="1" min="9" max="9" width="38.75"/>
    <col customWidth="1" min="10" max="10" width="33.75"/>
    <col customWidth="1" min="11" max="11" width="21.25"/>
    <col customWidth="1" min="12" max="26" width="8.63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2" t="s">
        <v>10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22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27.75" customHeight="1">
      <c r="A4" s="8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7.5" customHeight="1">
      <c r="A5" s="9" t="s">
        <v>14</v>
      </c>
      <c r="B5" s="9" t="s">
        <v>16</v>
      </c>
      <c r="C5" s="9" t="s">
        <v>18</v>
      </c>
      <c r="D5" s="9" t="s">
        <v>19</v>
      </c>
      <c r="E5" s="9" t="s">
        <v>22</v>
      </c>
      <c r="F5" s="9" t="s">
        <v>24</v>
      </c>
      <c r="G5" s="9" t="s">
        <v>27</v>
      </c>
      <c r="H5" s="9" t="s">
        <v>30</v>
      </c>
      <c r="I5" s="9" t="s">
        <v>32</v>
      </c>
      <c r="J5" s="9" t="s">
        <v>34</v>
      </c>
      <c r="K5" s="9" t="s">
        <v>35</v>
      </c>
    </row>
    <row r="6" ht="60.0" customHeight="1">
      <c r="A6" s="11" t="s">
        <v>39</v>
      </c>
      <c r="B6" s="11" t="s">
        <v>41</v>
      </c>
      <c r="C6" s="11" t="s">
        <v>42</v>
      </c>
      <c r="D6" s="11" t="s">
        <v>45</v>
      </c>
      <c r="E6" s="14"/>
      <c r="F6" s="14"/>
      <c r="G6" s="14"/>
      <c r="H6" s="14"/>
      <c r="I6" s="14"/>
      <c r="J6" s="14"/>
      <c r="K6" s="14"/>
    </row>
    <row r="7" ht="60.0" customHeight="1">
      <c r="A7" s="18" t="s">
        <v>65</v>
      </c>
      <c r="B7" s="18" t="s">
        <v>41</v>
      </c>
      <c r="C7" s="18" t="s">
        <v>68</v>
      </c>
      <c r="D7" s="18" t="s">
        <v>73</v>
      </c>
      <c r="E7" s="14"/>
      <c r="F7" s="14"/>
      <c r="G7" s="14"/>
      <c r="H7" s="14"/>
      <c r="I7" s="14"/>
      <c r="J7" s="14"/>
      <c r="K7" s="14"/>
    </row>
    <row r="8" ht="60.0" customHeight="1">
      <c r="A8" s="11" t="s">
        <v>75</v>
      </c>
      <c r="B8" s="11" t="s">
        <v>41</v>
      </c>
      <c r="C8" s="11" t="s">
        <v>76</v>
      </c>
      <c r="D8" s="11" t="s">
        <v>80</v>
      </c>
      <c r="E8" s="14"/>
      <c r="F8" s="14"/>
      <c r="G8" s="14"/>
      <c r="H8" s="14"/>
      <c r="I8" s="14"/>
      <c r="J8" s="14"/>
      <c r="K8" s="14"/>
    </row>
    <row r="9" ht="60.0" customHeight="1">
      <c r="A9" s="18" t="s">
        <v>82</v>
      </c>
      <c r="B9" s="18" t="s">
        <v>41</v>
      </c>
      <c r="C9" s="18" t="s">
        <v>83</v>
      </c>
      <c r="D9" s="18" t="s">
        <v>89</v>
      </c>
      <c r="E9" s="14"/>
      <c r="F9" s="14"/>
      <c r="G9" s="14"/>
      <c r="H9" s="14"/>
      <c r="I9" s="14"/>
      <c r="J9" s="14"/>
      <c r="K9" s="14"/>
    </row>
    <row r="10" ht="60.0" customHeight="1">
      <c r="A10" s="11" t="s">
        <v>91</v>
      </c>
      <c r="B10" s="11" t="s">
        <v>41</v>
      </c>
      <c r="C10" s="11" t="s">
        <v>92</v>
      </c>
      <c r="D10" s="11" t="s">
        <v>96</v>
      </c>
      <c r="E10" s="14"/>
      <c r="F10" s="14"/>
      <c r="G10" s="14"/>
      <c r="H10" s="14"/>
      <c r="I10" s="14"/>
      <c r="J10" s="14"/>
      <c r="K10" s="14"/>
    </row>
    <row r="11" ht="60.0" customHeight="1">
      <c r="A11" s="18" t="s">
        <v>100</v>
      </c>
      <c r="B11" s="18" t="s">
        <v>85</v>
      </c>
      <c r="C11" s="18" t="s">
        <v>101</v>
      </c>
      <c r="D11" s="18" t="s">
        <v>105</v>
      </c>
      <c r="E11" s="14"/>
      <c r="F11" s="14"/>
      <c r="G11" s="14"/>
      <c r="H11" s="14"/>
      <c r="I11" s="14"/>
      <c r="J11" s="14"/>
      <c r="K11" s="14"/>
    </row>
    <row r="12" ht="60.0" customHeight="1">
      <c r="A12" s="11" t="s">
        <v>107</v>
      </c>
      <c r="B12" s="11" t="s">
        <v>85</v>
      </c>
      <c r="C12" s="11" t="s">
        <v>110</v>
      </c>
      <c r="D12" s="11" t="s">
        <v>114</v>
      </c>
      <c r="E12" s="14"/>
      <c r="F12" s="14"/>
      <c r="G12" s="14"/>
      <c r="H12" s="14"/>
      <c r="I12" s="14"/>
      <c r="J12" s="14"/>
      <c r="K12" s="14"/>
    </row>
    <row r="13" ht="60.0" customHeight="1">
      <c r="A13" s="18" t="s">
        <v>116</v>
      </c>
      <c r="B13" s="18" t="s">
        <v>85</v>
      </c>
      <c r="C13" s="18" t="s">
        <v>117</v>
      </c>
      <c r="D13" s="18" t="s">
        <v>123</v>
      </c>
      <c r="E13" s="14"/>
      <c r="F13" s="14"/>
      <c r="G13" s="14"/>
      <c r="H13" s="14"/>
      <c r="I13" s="14"/>
      <c r="J13" s="14"/>
      <c r="K13" s="14"/>
    </row>
    <row r="14" ht="60.0" customHeight="1">
      <c r="A14" s="11" t="s">
        <v>125</v>
      </c>
      <c r="B14" s="11" t="s">
        <v>85</v>
      </c>
      <c r="C14" s="11" t="s">
        <v>126</v>
      </c>
      <c r="D14" s="11" t="s">
        <v>130</v>
      </c>
      <c r="E14" s="14"/>
      <c r="F14" s="14"/>
      <c r="G14" s="14"/>
      <c r="H14" s="14"/>
      <c r="I14" s="14"/>
      <c r="J14" s="14"/>
      <c r="K14" s="14"/>
    </row>
    <row r="15" ht="60.0" customHeight="1">
      <c r="A15" s="18" t="s">
        <v>134</v>
      </c>
      <c r="B15" s="18" t="s">
        <v>85</v>
      </c>
      <c r="C15" s="18" t="s">
        <v>135</v>
      </c>
      <c r="D15" s="18" t="s">
        <v>139</v>
      </c>
      <c r="E15" s="14"/>
      <c r="F15" s="14"/>
      <c r="G15" s="14"/>
      <c r="H15" s="14"/>
      <c r="I15" s="14"/>
      <c r="J15" s="14"/>
      <c r="K15" s="14"/>
    </row>
    <row r="16" ht="60.0" customHeight="1">
      <c r="A16" s="11" t="s">
        <v>143</v>
      </c>
      <c r="B16" s="11" t="s">
        <v>99</v>
      </c>
      <c r="C16" s="11" t="s">
        <v>144</v>
      </c>
      <c r="D16" s="11" t="s">
        <v>148</v>
      </c>
      <c r="E16" s="14"/>
      <c r="F16" s="14"/>
      <c r="G16" s="14"/>
      <c r="H16" s="14"/>
      <c r="I16" s="14"/>
      <c r="J16" s="14"/>
      <c r="K16" s="14"/>
    </row>
    <row r="17" ht="60.0" customHeight="1">
      <c r="A17" s="18" t="s">
        <v>150</v>
      </c>
      <c r="B17" s="18" t="s">
        <v>99</v>
      </c>
      <c r="C17" s="18" t="s">
        <v>153</v>
      </c>
      <c r="D17" s="18" t="s">
        <v>157</v>
      </c>
      <c r="E17" s="14"/>
      <c r="F17" s="14"/>
      <c r="G17" s="14"/>
      <c r="H17" s="14"/>
      <c r="I17" s="14"/>
      <c r="J17" s="14"/>
      <c r="K17" s="14"/>
    </row>
    <row r="18" ht="60.0" customHeight="1">
      <c r="A18" s="11" t="s">
        <v>159</v>
      </c>
      <c r="B18" s="11" t="s">
        <v>99</v>
      </c>
      <c r="C18" s="11" t="s">
        <v>160</v>
      </c>
      <c r="D18" s="11" t="s">
        <v>166</v>
      </c>
      <c r="E18" s="14"/>
      <c r="F18" s="14"/>
      <c r="G18" s="14"/>
      <c r="H18" s="14"/>
      <c r="I18" s="14"/>
      <c r="J18" s="14"/>
      <c r="K18" s="14"/>
    </row>
    <row r="19" ht="60.0" customHeight="1">
      <c r="A19" s="18" t="s">
        <v>168</v>
      </c>
      <c r="B19" s="18" t="s">
        <v>99</v>
      </c>
      <c r="C19" s="18" t="s">
        <v>169</v>
      </c>
      <c r="D19" s="18" t="s">
        <v>175</v>
      </c>
      <c r="E19" s="14"/>
      <c r="F19" s="14"/>
      <c r="G19" s="14"/>
      <c r="H19" s="14"/>
      <c r="I19" s="14"/>
      <c r="J19" s="14"/>
      <c r="K19" s="14"/>
    </row>
    <row r="20" ht="60.0" customHeight="1">
      <c r="A20" s="11" t="s">
        <v>177</v>
      </c>
      <c r="B20" s="11" t="s">
        <v>99</v>
      </c>
      <c r="C20" s="11" t="s">
        <v>178</v>
      </c>
      <c r="D20" s="11" t="s">
        <v>183</v>
      </c>
      <c r="E20" s="14"/>
      <c r="F20" s="14"/>
      <c r="G20" s="14"/>
      <c r="H20" s="14"/>
      <c r="I20" s="14"/>
      <c r="J20" s="14"/>
      <c r="K20" s="14"/>
    </row>
    <row r="21" ht="60.0" customHeight="1">
      <c r="A21" s="18" t="s">
        <v>186</v>
      </c>
      <c r="B21" s="18" t="s">
        <v>109</v>
      </c>
      <c r="C21" s="18" t="s">
        <v>187</v>
      </c>
      <c r="D21" s="18" t="s">
        <v>191</v>
      </c>
      <c r="E21" s="14"/>
      <c r="F21" s="14"/>
      <c r="G21" s="14"/>
      <c r="H21" s="14"/>
      <c r="I21" s="14"/>
      <c r="J21" s="14"/>
      <c r="K21" s="14"/>
    </row>
    <row r="22" ht="60.0" customHeight="1">
      <c r="A22" s="11" t="s">
        <v>195</v>
      </c>
      <c r="B22" s="11" t="s">
        <v>109</v>
      </c>
      <c r="C22" s="11" t="s">
        <v>196</v>
      </c>
      <c r="D22" s="11" t="s">
        <v>200</v>
      </c>
      <c r="E22" s="14"/>
      <c r="F22" s="14"/>
      <c r="G22" s="14"/>
      <c r="H22" s="14"/>
      <c r="I22" s="14"/>
      <c r="J22" s="14"/>
      <c r="K22" s="14"/>
    </row>
    <row r="23" ht="60.0" customHeight="1">
      <c r="A23" s="18" t="s">
        <v>202</v>
      </c>
      <c r="B23" s="18" t="s">
        <v>109</v>
      </c>
      <c r="C23" s="18" t="s">
        <v>204</v>
      </c>
      <c r="D23" s="18" t="s">
        <v>208</v>
      </c>
      <c r="E23" s="14"/>
      <c r="F23" s="14"/>
      <c r="G23" s="14"/>
      <c r="H23" s="14"/>
      <c r="I23" s="14"/>
      <c r="J23" s="14"/>
      <c r="K23" s="14"/>
    </row>
    <row r="24" ht="60.0" customHeight="1">
      <c r="A24" s="11" t="s">
        <v>210</v>
      </c>
      <c r="B24" s="11" t="s">
        <v>109</v>
      </c>
      <c r="C24" s="11" t="s">
        <v>211</v>
      </c>
      <c r="D24" s="11" t="s">
        <v>219</v>
      </c>
      <c r="E24" s="14"/>
      <c r="F24" s="14"/>
      <c r="G24" s="14"/>
      <c r="H24" s="14"/>
      <c r="I24" s="14"/>
      <c r="J24" s="14"/>
      <c r="K24" s="14"/>
    </row>
    <row r="25" ht="84.0" customHeight="1">
      <c r="A25" s="18" t="s">
        <v>221</v>
      </c>
      <c r="B25" s="18" t="s">
        <v>109</v>
      </c>
      <c r="C25" s="18" t="s">
        <v>222</v>
      </c>
      <c r="D25" s="18" t="s">
        <v>227</v>
      </c>
      <c r="E25" s="14" t="s">
        <v>262</v>
      </c>
      <c r="F25" s="14" t="s">
        <v>264</v>
      </c>
      <c r="G25" s="14"/>
      <c r="H25" s="14"/>
      <c r="I25" s="14"/>
      <c r="J25" s="14"/>
      <c r="K25" s="14" t="s">
        <v>268</v>
      </c>
    </row>
    <row r="26" ht="60.0" customHeight="1">
      <c r="A26" s="11" t="s">
        <v>229</v>
      </c>
      <c r="B26" s="11" t="s">
        <v>120</v>
      </c>
      <c r="C26" s="11" t="s">
        <v>230</v>
      </c>
      <c r="D26" s="11" t="s">
        <v>234</v>
      </c>
      <c r="E26" s="14"/>
      <c r="F26" s="14"/>
      <c r="G26" s="14"/>
      <c r="H26" s="14"/>
      <c r="I26" s="14"/>
      <c r="J26" s="14"/>
      <c r="K26" s="14"/>
    </row>
    <row r="27" ht="60.0" customHeight="1">
      <c r="A27" s="18" t="s">
        <v>237</v>
      </c>
      <c r="B27" s="18" t="s">
        <v>120</v>
      </c>
      <c r="C27" s="18" t="s">
        <v>238</v>
      </c>
      <c r="D27" s="18" t="s">
        <v>243</v>
      </c>
      <c r="E27" s="14"/>
      <c r="F27" s="14"/>
      <c r="G27" s="14"/>
      <c r="H27" s="14"/>
      <c r="I27" s="14"/>
      <c r="J27" s="14"/>
      <c r="K27" s="14"/>
    </row>
    <row r="28" ht="84.0" customHeight="1">
      <c r="A28" s="11" t="s">
        <v>248</v>
      </c>
      <c r="B28" s="11" t="s">
        <v>120</v>
      </c>
      <c r="C28" s="11" t="s">
        <v>250</v>
      </c>
      <c r="D28" s="11" t="s">
        <v>255</v>
      </c>
      <c r="E28" s="14" t="s">
        <v>290</v>
      </c>
      <c r="F28" s="14" t="s">
        <v>291</v>
      </c>
      <c r="G28" s="14"/>
      <c r="H28" s="14"/>
      <c r="I28" s="14"/>
      <c r="J28" s="14"/>
      <c r="K28" s="14" t="s">
        <v>268</v>
      </c>
    </row>
    <row r="29" ht="60.0" customHeight="1">
      <c r="A29" s="18" t="s">
        <v>258</v>
      </c>
      <c r="B29" s="18" t="s">
        <v>120</v>
      </c>
      <c r="C29" s="18" t="s">
        <v>259</v>
      </c>
      <c r="D29" s="18" t="s">
        <v>265</v>
      </c>
      <c r="E29" s="14"/>
      <c r="F29" s="14"/>
      <c r="G29" s="14"/>
      <c r="H29" s="14"/>
      <c r="I29" s="14"/>
      <c r="J29" s="14"/>
      <c r="K29" s="14"/>
    </row>
    <row r="30" ht="60.0" customHeight="1">
      <c r="A30" s="11" t="s">
        <v>267</v>
      </c>
      <c r="B30" s="11" t="s">
        <v>120</v>
      </c>
      <c r="C30" s="11" t="s">
        <v>269</v>
      </c>
      <c r="D30" s="11" t="s">
        <v>273</v>
      </c>
      <c r="E30" s="14"/>
      <c r="F30" s="14"/>
      <c r="G30" s="14"/>
      <c r="H30" s="14"/>
      <c r="I30" s="14"/>
      <c r="J30" s="14"/>
      <c r="K30" s="14"/>
    </row>
    <row r="31" ht="60.0" customHeight="1">
      <c r="A31" s="18" t="s">
        <v>275</v>
      </c>
      <c r="B31" s="18" t="s">
        <v>133</v>
      </c>
      <c r="C31" s="18" t="s">
        <v>276</v>
      </c>
      <c r="D31" s="18" t="s">
        <v>280</v>
      </c>
      <c r="E31" s="14"/>
      <c r="F31" s="14"/>
      <c r="G31" s="14"/>
      <c r="H31" s="14"/>
      <c r="I31" s="14"/>
      <c r="J31" s="14"/>
      <c r="K31" s="14"/>
    </row>
    <row r="32" ht="60.0" customHeight="1">
      <c r="A32" s="11" t="s">
        <v>282</v>
      </c>
      <c r="B32" s="11" t="s">
        <v>133</v>
      </c>
      <c r="C32" s="11" t="s">
        <v>283</v>
      </c>
      <c r="D32" s="11" t="s">
        <v>287</v>
      </c>
      <c r="E32" s="14"/>
      <c r="F32" s="14"/>
      <c r="G32" s="14"/>
      <c r="H32" s="14"/>
      <c r="I32" s="14"/>
      <c r="J32" s="14"/>
      <c r="K32" s="14"/>
    </row>
    <row r="33" ht="60.0" customHeight="1">
      <c r="A33" s="18" t="s">
        <v>289</v>
      </c>
      <c r="B33" s="18" t="s">
        <v>133</v>
      </c>
      <c r="C33" s="18" t="s">
        <v>292</v>
      </c>
      <c r="D33" s="18" t="s">
        <v>296</v>
      </c>
      <c r="E33" s="14"/>
      <c r="F33" s="14"/>
      <c r="G33" s="14"/>
      <c r="H33" s="14"/>
      <c r="I33" s="14"/>
      <c r="J33" s="14"/>
      <c r="K33" s="14"/>
    </row>
    <row r="34" ht="60.0" customHeight="1">
      <c r="A34" s="11" t="s">
        <v>298</v>
      </c>
      <c r="B34" s="11" t="s">
        <v>133</v>
      </c>
      <c r="C34" s="11" t="s">
        <v>299</v>
      </c>
      <c r="D34" s="11" t="s">
        <v>303</v>
      </c>
      <c r="E34" s="14"/>
      <c r="F34" s="14"/>
      <c r="G34" s="14"/>
      <c r="H34" s="14"/>
      <c r="I34" s="14"/>
      <c r="J34" s="14"/>
      <c r="K34" s="14"/>
    </row>
    <row r="35" ht="84.0" customHeight="1">
      <c r="A35" s="18" t="s">
        <v>305</v>
      </c>
      <c r="B35" s="18" t="s">
        <v>133</v>
      </c>
      <c r="C35" s="18" t="s">
        <v>306</v>
      </c>
      <c r="D35" s="18" t="s">
        <v>310</v>
      </c>
      <c r="E35" s="14" t="s">
        <v>378</v>
      </c>
      <c r="F35" s="14" t="s">
        <v>385</v>
      </c>
      <c r="G35" s="14"/>
      <c r="H35" s="14"/>
      <c r="I35" s="14"/>
      <c r="J35" s="14"/>
      <c r="K35" s="14" t="s">
        <v>268</v>
      </c>
    </row>
    <row r="36" ht="60.0" customHeight="1">
      <c r="A36" s="11" t="s">
        <v>312</v>
      </c>
      <c r="B36" s="11" t="s">
        <v>142</v>
      </c>
      <c r="C36" s="11" t="s">
        <v>313</v>
      </c>
      <c r="D36" s="11" t="s">
        <v>317</v>
      </c>
      <c r="E36" s="14"/>
      <c r="F36" s="14"/>
      <c r="G36" s="14"/>
      <c r="H36" s="14"/>
      <c r="I36" s="14"/>
      <c r="J36" s="14"/>
      <c r="K36" s="14"/>
    </row>
    <row r="37" ht="60.0" customHeight="1">
      <c r="A37" s="18" t="s">
        <v>319</v>
      </c>
      <c r="B37" s="18" t="s">
        <v>142</v>
      </c>
      <c r="C37" s="18" t="s">
        <v>320</v>
      </c>
      <c r="D37" s="18" t="s">
        <v>324</v>
      </c>
      <c r="E37" s="14"/>
      <c r="F37" s="14"/>
      <c r="G37" s="14"/>
      <c r="H37" s="14"/>
      <c r="I37" s="14"/>
      <c r="J37" s="14"/>
      <c r="K37" s="14"/>
    </row>
    <row r="38" ht="60.0" customHeight="1">
      <c r="A38" s="11" t="s">
        <v>326</v>
      </c>
      <c r="B38" s="11" t="s">
        <v>142</v>
      </c>
      <c r="C38" s="11" t="s">
        <v>327</v>
      </c>
      <c r="D38" s="11" t="s">
        <v>331</v>
      </c>
      <c r="E38" s="14"/>
      <c r="F38" s="14"/>
      <c r="G38" s="14"/>
      <c r="H38" s="14"/>
      <c r="I38" s="14"/>
      <c r="J38" s="14"/>
      <c r="K38" s="14"/>
    </row>
    <row r="39" ht="84.0" customHeight="1">
      <c r="A39" s="18" t="s">
        <v>333</v>
      </c>
      <c r="B39" s="18" t="s">
        <v>142</v>
      </c>
      <c r="C39" s="18" t="s">
        <v>334</v>
      </c>
      <c r="D39" s="18" t="s">
        <v>346</v>
      </c>
      <c r="E39" s="14" t="s">
        <v>447</v>
      </c>
      <c r="F39" s="14" t="s">
        <v>452</v>
      </c>
      <c r="G39" s="14"/>
      <c r="H39" s="14"/>
      <c r="I39" s="14"/>
      <c r="J39" s="14"/>
      <c r="K39" s="14" t="s">
        <v>268</v>
      </c>
    </row>
    <row r="40" ht="60.0" customHeight="1">
      <c r="A40" s="11" t="s">
        <v>359</v>
      </c>
      <c r="B40" s="11" t="s">
        <v>142</v>
      </c>
      <c r="C40" s="11" t="s">
        <v>365</v>
      </c>
      <c r="D40" s="11" t="s">
        <v>386</v>
      </c>
      <c r="E40" s="14"/>
      <c r="F40" s="14"/>
      <c r="G40" s="14"/>
      <c r="H40" s="14"/>
      <c r="I40" s="14"/>
      <c r="J40" s="14"/>
      <c r="K40" s="14"/>
    </row>
    <row r="41" ht="60.0" customHeight="1">
      <c r="A41" s="18" t="s">
        <v>388</v>
      </c>
      <c r="B41" s="18" t="s">
        <v>152</v>
      </c>
      <c r="C41" s="18" t="s">
        <v>389</v>
      </c>
      <c r="D41" s="18" t="s">
        <v>393</v>
      </c>
      <c r="E41" s="14"/>
      <c r="F41" s="14"/>
      <c r="G41" s="14"/>
      <c r="H41" s="14"/>
      <c r="I41" s="14"/>
      <c r="J41" s="14"/>
      <c r="K41" s="14"/>
    </row>
    <row r="42" ht="60.0" customHeight="1">
      <c r="A42" s="11" t="s">
        <v>395</v>
      </c>
      <c r="B42" s="11" t="s">
        <v>152</v>
      </c>
      <c r="C42" s="11" t="s">
        <v>396</v>
      </c>
      <c r="D42" s="11" t="s">
        <v>400</v>
      </c>
      <c r="E42" s="14"/>
      <c r="F42" s="14"/>
      <c r="G42" s="14"/>
      <c r="H42" s="14"/>
      <c r="I42" s="14"/>
      <c r="J42" s="14"/>
      <c r="K42" s="14"/>
    </row>
    <row r="43" ht="60.0" customHeight="1">
      <c r="A43" s="18" t="s">
        <v>402</v>
      </c>
      <c r="B43" s="18" t="s">
        <v>152</v>
      </c>
      <c r="C43" s="18" t="s">
        <v>403</v>
      </c>
      <c r="D43" s="18" t="s">
        <v>407</v>
      </c>
      <c r="E43" s="14"/>
      <c r="F43" s="14"/>
      <c r="G43" s="14"/>
      <c r="H43" s="14"/>
      <c r="I43" s="14"/>
      <c r="J43" s="14"/>
      <c r="K43" s="14"/>
    </row>
    <row r="44" ht="60.0" customHeight="1">
      <c r="A44" s="11" t="s">
        <v>409</v>
      </c>
      <c r="B44" s="11" t="s">
        <v>152</v>
      </c>
      <c r="C44" s="11" t="s">
        <v>412</v>
      </c>
      <c r="D44" s="11" t="s">
        <v>424</v>
      </c>
      <c r="E44" s="14"/>
      <c r="F44" s="14"/>
      <c r="G44" s="14"/>
      <c r="H44" s="14"/>
      <c r="I44" s="14"/>
      <c r="J44" s="14"/>
      <c r="K44" s="14"/>
    </row>
    <row r="45" ht="60.0" customHeight="1">
      <c r="A45" s="18" t="s">
        <v>436</v>
      </c>
      <c r="B45" s="18" t="s">
        <v>152</v>
      </c>
      <c r="C45" s="18" t="s">
        <v>442</v>
      </c>
      <c r="D45" s="18" t="s">
        <v>459</v>
      </c>
      <c r="E45" s="14"/>
      <c r="F45" s="14"/>
      <c r="G45" s="14"/>
      <c r="H45" s="14"/>
      <c r="I45" s="14"/>
      <c r="J45" s="14"/>
      <c r="K45" s="14"/>
    </row>
    <row r="46" ht="60.0" customHeight="1">
      <c r="A46" s="11" t="s">
        <v>469</v>
      </c>
      <c r="B46" s="11" t="s">
        <v>162</v>
      </c>
      <c r="C46" s="11" t="s">
        <v>470</v>
      </c>
      <c r="D46" s="11" t="s">
        <v>474</v>
      </c>
      <c r="E46" s="14"/>
      <c r="F46" s="14"/>
      <c r="G46" s="14"/>
      <c r="H46" s="14"/>
      <c r="I46" s="14"/>
      <c r="J46" s="14"/>
      <c r="K46" s="14"/>
    </row>
    <row r="47" ht="60.0" customHeight="1">
      <c r="A47" s="18" t="s">
        <v>476</v>
      </c>
      <c r="B47" s="18" t="s">
        <v>162</v>
      </c>
      <c r="C47" s="18" t="s">
        <v>477</v>
      </c>
      <c r="D47" s="18" t="s">
        <v>481</v>
      </c>
      <c r="E47" s="14"/>
      <c r="F47" s="14"/>
      <c r="G47" s="14"/>
      <c r="H47" s="14"/>
      <c r="I47" s="14"/>
      <c r="J47" s="14"/>
      <c r="K47" s="14"/>
    </row>
    <row r="48" ht="60.0" customHeight="1">
      <c r="A48" s="11" t="s">
        <v>483</v>
      </c>
      <c r="B48" s="11" t="s">
        <v>162</v>
      </c>
      <c r="C48" s="11" t="s">
        <v>484</v>
      </c>
      <c r="D48" s="11" t="s">
        <v>488</v>
      </c>
      <c r="E48" s="14"/>
      <c r="F48" s="14"/>
      <c r="G48" s="14"/>
      <c r="H48" s="14"/>
      <c r="I48" s="14"/>
      <c r="J48" s="14"/>
      <c r="K48" s="14"/>
    </row>
    <row r="49" ht="60.0" customHeight="1">
      <c r="A49" s="18" t="s">
        <v>490</v>
      </c>
      <c r="B49" s="18" t="s">
        <v>162</v>
      </c>
      <c r="C49" s="18" t="s">
        <v>491</v>
      </c>
      <c r="D49" s="18" t="s">
        <v>495</v>
      </c>
      <c r="E49" s="14"/>
      <c r="F49" s="14"/>
      <c r="G49" s="14"/>
      <c r="H49" s="14"/>
      <c r="I49" s="14"/>
      <c r="J49" s="14"/>
      <c r="K49" s="14"/>
    </row>
    <row r="50" ht="60.0" customHeight="1">
      <c r="A50" s="11" t="s">
        <v>497</v>
      </c>
      <c r="B50" s="11" t="s">
        <v>162</v>
      </c>
      <c r="C50" s="11" t="s">
        <v>498</v>
      </c>
      <c r="D50" s="11" t="s">
        <v>502</v>
      </c>
      <c r="E50" s="14"/>
      <c r="F50" s="14"/>
      <c r="G50" s="14"/>
      <c r="H50" s="14"/>
      <c r="I50" s="14"/>
      <c r="J50" s="14"/>
      <c r="K50" s="14"/>
    </row>
    <row r="51" ht="60.0" customHeight="1">
      <c r="A51" s="18" t="s">
        <v>504</v>
      </c>
      <c r="B51" s="18" t="s">
        <v>171</v>
      </c>
      <c r="C51" s="18" t="s">
        <v>505</v>
      </c>
      <c r="D51" s="18" t="s">
        <v>509</v>
      </c>
      <c r="E51" s="14"/>
      <c r="F51" s="14"/>
      <c r="G51" s="14"/>
      <c r="H51" s="14"/>
      <c r="I51" s="14"/>
      <c r="J51" s="14"/>
      <c r="K51" s="14"/>
    </row>
    <row r="52" ht="60.0" customHeight="1">
      <c r="A52" s="11" t="s">
        <v>511</v>
      </c>
      <c r="B52" s="11" t="s">
        <v>171</v>
      </c>
      <c r="C52" s="11" t="s">
        <v>512</v>
      </c>
      <c r="D52" s="11" t="s">
        <v>516</v>
      </c>
      <c r="E52" s="14"/>
      <c r="F52" s="14"/>
      <c r="G52" s="14"/>
      <c r="H52" s="14"/>
      <c r="I52" s="14"/>
      <c r="J52" s="14"/>
      <c r="K52" s="14"/>
    </row>
    <row r="53" ht="60.0" customHeight="1">
      <c r="A53" s="18" t="s">
        <v>518</v>
      </c>
      <c r="B53" s="18" t="s">
        <v>171</v>
      </c>
      <c r="C53" s="18" t="s">
        <v>519</v>
      </c>
      <c r="D53" s="18" t="s">
        <v>523</v>
      </c>
      <c r="E53" s="14"/>
      <c r="F53" s="14"/>
      <c r="G53" s="14"/>
      <c r="H53" s="14"/>
      <c r="I53" s="14"/>
      <c r="J53" s="14"/>
      <c r="K53" s="14"/>
    </row>
    <row r="54" ht="60.0" customHeight="1">
      <c r="A54" s="11" t="s">
        <v>525</v>
      </c>
      <c r="B54" s="11" t="s">
        <v>171</v>
      </c>
      <c r="C54" s="11" t="s">
        <v>526</v>
      </c>
      <c r="D54" s="11" t="s">
        <v>530</v>
      </c>
      <c r="E54" s="14"/>
      <c r="F54" s="14"/>
      <c r="G54" s="14"/>
      <c r="H54" s="14"/>
      <c r="I54" s="14"/>
      <c r="J54" s="14"/>
      <c r="K54" s="14"/>
    </row>
    <row r="55" ht="60.0" customHeight="1">
      <c r="A55" s="18" t="s">
        <v>532</v>
      </c>
      <c r="B55" s="18" t="s">
        <v>171</v>
      </c>
      <c r="C55" s="18" t="s">
        <v>533</v>
      </c>
      <c r="D55" s="18" t="s">
        <v>537</v>
      </c>
      <c r="E55" s="14"/>
      <c r="F55" s="14"/>
      <c r="G55" s="14"/>
      <c r="H55" s="14"/>
      <c r="I55" s="14"/>
      <c r="J55" s="14"/>
      <c r="K55" s="14"/>
    </row>
    <row r="56" ht="60.0" customHeight="1">
      <c r="A56" s="11" t="s">
        <v>539</v>
      </c>
      <c r="B56" s="11" t="s">
        <v>184</v>
      </c>
      <c r="C56" s="11" t="s">
        <v>540</v>
      </c>
      <c r="D56" s="11" t="s">
        <v>544</v>
      </c>
      <c r="E56" s="14"/>
      <c r="F56" s="14"/>
      <c r="G56" s="14"/>
      <c r="H56" s="14"/>
      <c r="I56" s="14"/>
      <c r="J56" s="14"/>
      <c r="K56" s="14"/>
    </row>
    <row r="57" ht="60.0" customHeight="1">
      <c r="A57" s="18" t="s">
        <v>546</v>
      </c>
      <c r="B57" s="18" t="s">
        <v>184</v>
      </c>
      <c r="C57" s="18" t="s">
        <v>547</v>
      </c>
      <c r="D57" s="18" t="s">
        <v>551</v>
      </c>
      <c r="E57" s="14"/>
      <c r="F57" s="14"/>
      <c r="G57" s="14"/>
      <c r="H57" s="14"/>
      <c r="I57" s="14"/>
      <c r="J57" s="14"/>
      <c r="K57" s="14"/>
    </row>
    <row r="58" ht="60.0" customHeight="1">
      <c r="A58" s="11" t="s">
        <v>553</v>
      </c>
      <c r="B58" s="11" t="s">
        <v>184</v>
      </c>
      <c r="C58" s="11" t="s">
        <v>554</v>
      </c>
      <c r="D58" s="11" t="s">
        <v>558</v>
      </c>
      <c r="E58" s="14"/>
      <c r="F58" s="14"/>
      <c r="G58" s="14"/>
      <c r="H58" s="14"/>
      <c r="I58" s="14"/>
      <c r="J58" s="14"/>
      <c r="K58" s="14"/>
    </row>
    <row r="59" ht="60.0" customHeight="1">
      <c r="A59" s="18" t="s">
        <v>560</v>
      </c>
      <c r="B59" s="18" t="s">
        <v>184</v>
      </c>
      <c r="C59" s="18" t="s">
        <v>561</v>
      </c>
      <c r="D59" s="18" t="s">
        <v>565</v>
      </c>
      <c r="E59" s="14"/>
      <c r="F59" s="14"/>
      <c r="G59" s="14"/>
      <c r="H59" s="14"/>
      <c r="I59" s="14"/>
      <c r="J59" s="14"/>
      <c r="K59" s="14"/>
    </row>
    <row r="60" ht="60.0" customHeight="1">
      <c r="A60" s="11" t="s">
        <v>567</v>
      </c>
      <c r="B60" s="11" t="s">
        <v>184</v>
      </c>
      <c r="C60" s="11" t="s">
        <v>568</v>
      </c>
      <c r="D60" s="11" t="s">
        <v>572</v>
      </c>
      <c r="E60" s="14"/>
      <c r="F60" s="14"/>
      <c r="G60" s="14"/>
      <c r="H60" s="14"/>
      <c r="I60" s="14"/>
      <c r="J60" s="14"/>
      <c r="K60" s="14"/>
    </row>
    <row r="61" ht="60.0" customHeight="1">
      <c r="A61" s="18" t="s">
        <v>574</v>
      </c>
      <c r="B61" s="18" t="s">
        <v>194</v>
      </c>
      <c r="C61" s="18" t="s">
        <v>575</v>
      </c>
      <c r="D61" s="18" t="s">
        <v>579</v>
      </c>
      <c r="E61" s="14"/>
      <c r="F61" s="14"/>
      <c r="G61" s="14"/>
      <c r="H61" s="14"/>
      <c r="I61" s="14"/>
      <c r="J61" s="14"/>
      <c r="K61" s="14"/>
    </row>
    <row r="62" ht="60.0" customHeight="1">
      <c r="A62" s="11" t="s">
        <v>581</v>
      </c>
      <c r="B62" s="11" t="s">
        <v>194</v>
      </c>
      <c r="C62" s="11" t="s">
        <v>582</v>
      </c>
      <c r="D62" s="11" t="s">
        <v>586</v>
      </c>
      <c r="E62" s="14"/>
      <c r="F62" s="14"/>
      <c r="G62" s="14"/>
      <c r="H62" s="14"/>
      <c r="I62" s="14"/>
      <c r="J62" s="14"/>
      <c r="K62" s="14"/>
    </row>
    <row r="63" ht="60.0" customHeight="1">
      <c r="A63" s="18" t="s">
        <v>588</v>
      </c>
      <c r="B63" s="18" t="s">
        <v>194</v>
      </c>
      <c r="C63" s="18" t="s">
        <v>589</v>
      </c>
      <c r="D63" s="18" t="s">
        <v>593</v>
      </c>
      <c r="E63" s="14"/>
      <c r="F63" s="14"/>
      <c r="G63" s="14"/>
      <c r="H63" s="14"/>
      <c r="I63" s="14"/>
      <c r="J63" s="14"/>
      <c r="K63" s="14"/>
    </row>
    <row r="64" ht="60.0" customHeight="1">
      <c r="A64" s="11" t="s">
        <v>595</v>
      </c>
      <c r="B64" s="11" t="s">
        <v>194</v>
      </c>
      <c r="C64" s="11" t="s">
        <v>596</v>
      </c>
      <c r="D64" s="11" t="s">
        <v>600</v>
      </c>
      <c r="E64" s="14"/>
      <c r="F64" s="14"/>
      <c r="G64" s="14"/>
      <c r="H64" s="14"/>
      <c r="I64" s="14"/>
      <c r="J64" s="14"/>
      <c r="K64" s="14"/>
    </row>
    <row r="65" ht="60.0" customHeight="1">
      <c r="A65" s="18" t="s">
        <v>602</v>
      </c>
      <c r="B65" s="18" t="s">
        <v>194</v>
      </c>
      <c r="C65" s="18" t="s">
        <v>603</v>
      </c>
      <c r="D65" s="18" t="s">
        <v>607</v>
      </c>
      <c r="E65" s="14"/>
      <c r="F65" s="14"/>
      <c r="G65" s="14"/>
      <c r="H65" s="14"/>
      <c r="I65" s="14"/>
      <c r="J65" s="14"/>
      <c r="K65" s="1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6:K65">
      <formula1>"要追加,受領済み・未確認,確認済み,再測定が必要"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A2AF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5.63"/>
    <col customWidth="1" min="2" max="2" width="30.0"/>
    <col customWidth="1" min="3" max="3" width="70.0"/>
    <col customWidth="1" min="4" max="4" width="31.25"/>
    <col customWidth="1" min="5" max="26" width="8.63"/>
  </cols>
  <sheetData>
    <row r="1" ht="27.75" customHeight="1">
      <c r="A1" s="1"/>
      <c r="B1" s="1"/>
      <c r="C1" s="1"/>
      <c r="D1" s="1"/>
    </row>
    <row r="2" ht="33.75" customHeight="1">
      <c r="A2" s="2" t="s">
        <v>335</v>
      </c>
      <c r="B2" s="1"/>
      <c r="C2" s="1"/>
      <c r="D2" s="1"/>
    </row>
    <row r="3" ht="22.5" customHeight="1">
      <c r="A3" s="3"/>
      <c r="B3" s="3"/>
      <c r="C3" s="3"/>
      <c r="D3" s="3"/>
    </row>
    <row r="4" ht="27.75" customHeight="1">
      <c r="A4" s="1"/>
      <c r="B4" s="1"/>
      <c r="C4" s="1"/>
      <c r="D4" s="1"/>
    </row>
    <row r="5" ht="27.75" customHeight="1">
      <c r="A5" s="1" t="s">
        <v>336</v>
      </c>
      <c r="B5" s="12">
        <v>0.7</v>
      </c>
      <c r="C5" s="1" t="s">
        <v>338</v>
      </c>
      <c r="D5" s="1"/>
    </row>
    <row r="6" ht="27.75" customHeight="1">
      <c r="A6" s="1" t="s">
        <v>339</v>
      </c>
      <c r="B6" s="12">
        <v>0.3</v>
      </c>
      <c r="C6" s="1" t="s">
        <v>341</v>
      </c>
      <c r="D6" s="1"/>
    </row>
    <row r="7" ht="27.75" customHeight="1">
      <c r="A7" s="1"/>
      <c r="B7" s="1"/>
      <c r="C7" s="1"/>
      <c r="D7" s="1"/>
    </row>
    <row r="8" ht="37.5" customHeight="1">
      <c r="A8" s="15" t="s">
        <v>343</v>
      </c>
      <c r="B8" s="15" t="s">
        <v>344</v>
      </c>
      <c r="C8" s="15" t="s">
        <v>345</v>
      </c>
      <c r="D8" s="1"/>
    </row>
    <row r="9" ht="48.75" customHeight="1">
      <c r="A9" s="35">
        <v>0.0</v>
      </c>
      <c r="B9" s="4" t="s">
        <v>347</v>
      </c>
      <c r="C9" s="4" t="s">
        <v>348</v>
      </c>
      <c r="D9" s="1"/>
    </row>
    <row r="10" ht="48.75" customHeight="1">
      <c r="A10" s="35">
        <v>1.0</v>
      </c>
      <c r="B10" s="4" t="s">
        <v>349</v>
      </c>
      <c r="C10" s="4" t="s">
        <v>350</v>
      </c>
      <c r="D10" s="1"/>
    </row>
    <row r="11" ht="48.75" customHeight="1">
      <c r="A11" s="35">
        <v>2.0</v>
      </c>
      <c r="B11" s="4" t="s">
        <v>352</v>
      </c>
      <c r="C11" s="4" t="s">
        <v>353</v>
      </c>
      <c r="D11" s="1"/>
    </row>
    <row r="12" ht="48.75" customHeight="1">
      <c r="A12" s="35">
        <v>3.0</v>
      </c>
      <c r="B12" s="4" t="s">
        <v>354</v>
      </c>
      <c r="C12" s="4" t="s">
        <v>355</v>
      </c>
      <c r="D12" s="1"/>
    </row>
    <row r="13" ht="48.75" customHeight="1">
      <c r="A13" s="35">
        <v>4.0</v>
      </c>
      <c r="B13" s="4" t="s">
        <v>356</v>
      </c>
      <c r="C13" s="4" t="s">
        <v>357</v>
      </c>
      <c r="D13" s="1"/>
    </row>
    <row r="14" ht="48.75" customHeight="1">
      <c r="A14" s="35">
        <v>5.0</v>
      </c>
      <c r="B14" s="4" t="s">
        <v>358</v>
      </c>
      <c r="C14" s="4" t="s">
        <v>360</v>
      </c>
      <c r="D14" s="1"/>
    </row>
    <row r="15" ht="27.75" customHeight="1">
      <c r="A15" s="1"/>
      <c r="B15" s="4"/>
      <c r="C15" s="4"/>
      <c r="D15" s="1"/>
    </row>
    <row r="16" ht="37.5" customHeight="1">
      <c r="A16" s="15" t="s">
        <v>361</v>
      </c>
      <c r="B16" s="15" t="s">
        <v>362</v>
      </c>
      <c r="C16" s="15" t="s">
        <v>363</v>
      </c>
      <c r="D16" s="1"/>
    </row>
    <row r="17" ht="60.75" customHeight="1">
      <c r="A17" s="4" t="s">
        <v>364</v>
      </c>
      <c r="B17" s="4" t="s">
        <v>366</v>
      </c>
      <c r="C17" s="4" t="s">
        <v>367</v>
      </c>
      <c r="D17" s="1"/>
    </row>
    <row r="18" ht="60.75" customHeight="1">
      <c r="A18" s="4" t="s">
        <v>368</v>
      </c>
      <c r="B18" s="4" t="s">
        <v>369</v>
      </c>
      <c r="C18" s="4" t="s">
        <v>370</v>
      </c>
      <c r="D18" s="1"/>
    </row>
    <row r="19" ht="60.75" customHeight="1">
      <c r="A19" s="4" t="s">
        <v>371</v>
      </c>
      <c r="B19" s="4" t="s">
        <v>372</v>
      </c>
      <c r="C19" s="4" t="s">
        <v>373</v>
      </c>
      <c r="D19" s="1"/>
    </row>
    <row r="20" ht="60.75" customHeight="1">
      <c r="A20" s="4" t="s">
        <v>375</v>
      </c>
      <c r="B20" s="4" t="s">
        <v>376</v>
      </c>
      <c r="C20" s="4" t="s">
        <v>377</v>
      </c>
      <c r="D20" s="1"/>
    </row>
    <row r="21" ht="27.75" customHeight="1">
      <c r="A21" s="1"/>
      <c r="B21" s="4"/>
      <c r="C21" s="4"/>
      <c r="D21" s="1"/>
    </row>
    <row r="22" ht="37.5" customHeight="1">
      <c r="A22" s="15" t="s">
        <v>380</v>
      </c>
      <c r="B22" s="15" t="s">
        <v>381</v>
      </c>
      <c r="C22" s="15" t="s">
        <v>382</v>
      </c>
      <c r="D22" s="1"/>
    </row>
    <row r="23" ht="42.0" customHeight="1">
      <c r="A23" s="35">
        <v>0.0</v>
      </c>
      <c r="B23" s="4" t="s">
        <v>383</v>
      </c>
      <c r="C23" s="4" t="s">
        <v>410</v>
      </c>
      <c r="D23" s="1"/>
    </row>
    <row r="24" ht="42.0" customHeight="1">
      <c r="A24" s="35">
        <v>60.0</v>
      </c>
      <c r="B24" s="4" t="s">
        <v>411</v>
      </c>
      <c r="C24" s="4" t="s">
        <v>413</v>
      </c>
      <c r="D24" s="1"/>
    </row>
    <row r="25" ht="42.0" customHeight="1">
      <c r="A25" s="35">
        <v>70.0</v>
      </c>
      <c r="B25" s="4" t="s">
        <v>414</v>
      </c>
      <c r="C25" s="4" t="s">
        <v>415</v>
      </c>
      <c r="D25" s="1"/>
    </row>
    <row r="26" ht="42.0" customHeight="1">
      <c r="A26" s="35">
        <v>80.0</v>
      </c>
      <c r="B26" s="4" t="s">
        <v>416</v>
      </c>
      <c r="C26" s="4" t="s">
        <v>418</v>
      </c>
      <c r="D26" s="1"/>
    </row>
    <row r="27" ht="42.0" customHeight="1">
      <c r="A27" s="35">
        <v>90.0</v>
      </c>
      <c r="B27" s="4" t="s">
        <v>419</v>
      </c>
      <c r="C27" s="4" t="s">
        <v>421</v>
      </c>
      <c r="D27" s="1"/>
    </row>
    <row r="28" ht="27.75" customHeight="1">
      <c r="A28" s="1"/>
      <c r="B28" s="4"/>
      <c r="C28" s="4"/>
      <c r="D28" s="1"/>
    </row>
    <row r="29" ht="27.75" customHeight="1">
      <c r="A29" s="1"/>
      <c r="B29" s="4"/>
      <c r="C29" s="4"/>
      <c r="D29" s="1"/>
    </row>
    <row r="30" ht="75.75" customHeight="1">
      <c r="A30" s="4" t="s">
        <v>423</v>
      </c>
      <c r="B30" s="4" t="s">
        <v>425</v>
      </c>
      <c r="C30" s="4" t="s">
        <v>426</v>
      </c>
      <c r="D30" s="1"/>
    </row>
    <row r="31" ht="75.75" customHeight="1">
      <c r="A31" s="4" t="s">
        <v>427</v>
      </c>
      <c r="B31" s="4" t="s">
        <v>429</v>
      </c>
      <c r="C31" s="4" t="s">
        <v>430</v>
      </c>
      <c r="D31" s="1"/>
    </row>
    <row r="32" ht="75.75" customHeight="1">
      <c r="A32" s="4" t="s">
        <v>431</v>
      </c>
      <c r="B32" s="4" t="s">
        <v>432</v>
      </c>
      <c r="C32" s="4" t="s">
        <v>433</v>
      </c>
      <c r="D32" s="1"/>
    </row>
    <row r="33" ht="75.75" customHeight="1">
      <c r="A33" s="4" t="s">
        <v>434</v>
      </c>
      <c r="B33" s="4" t="s">
        <v>435</v>
      </c>
      <c r="C33" s="4" t="s">
        <v>437</v>
      </c>
      <c r="D33" s="1"/>
    </row>
    <row r="34" ht="75.75" customHeight="1">
      <c r="A34" s="4" t="s">
        <v>438</v>
      </c>
      <c r="B34" s="4" t="s">
        <v>439</v>
      </c>
      <c r="C34" s="4" t="s">
        <v>440</v>
      </c>
      <c r="D34" s="1"/>
    </row>
    <row r="35" ht="75.75" customHeight="1">
      <c r="A35" s="4" t="s">
        <v>441</v>
      </c>
      <c r="B35" s="4" t="s">
        <v>443</v>
      </c>
      <c r="C35" s="4" t="s">
        <v>444</v>
      </c>
      <c r="D35" s="1"/>
    </row>
    <row r="36" ht="75.75" customHeight="1">
      <c r="A36" s="4" t="s">
        <v>445</v>
      </c>
      <c r="B36" s="4" t="s">
        <v>446</v>
      </c>
      <c r="C36" s="4" t="s">
        <v>448</v>
      </c>
      <c r="D36" s="1"/>
    </row>
    <row r="37" ht="27.75" customHeight="1">
      <c r="A37" s="1"/>
      <c r="B37" s="4"/>
      <c r="C37" s="4"/>
      <c r="D37" s="1"/>
    </row>
    <row r="38" ht="72.0" customHeight="1">
      <c r="A38" s="4" t="s">
        <v>450</v>
      </c>
      <c r="B38" s="4" t="s">
        <v>453</v>
      </c>
      <c r="C38" s="4" t="s">
        <v>454</v>
      </c>
      <c r="D38" s="1"/>
    </row>
    <row r="39" ht="72.0" customHeight="1">
      <c r="A39" s="4" t="s">
        <v>455</v>
      </c>
      <c r="B39" s="4" t="s">
        <v>457</v>
      </c>
      <c r="C39" s="4" t="s">
        <v>458</v>
      </c>
      <c r="D39" s="1"/>
    </row>
    <row r="40" ht="72.0" customHeight="1">
      <c r="A40" s="4" t="s">
        <v>218</v>
      </c>
      <c r="B40" s="4" t="s">
        <v>460</v>
      </c>
      <c r="C40" s="4" t="s">
        <v>461</v>
      </c>
      <c r="D40" s="1"/>
    </row>
    <row r="41" ht="72.0" customHeight="1">
      <c r="A41" s="4" t="s">
        <v>463</v>
      </c>
      <c r="B41" s="4" t="s">
        <v>464</v>
      </c>
      <c r="C41" s="4" t="s">
        <v>465</v>
      </c>
      <c r="D41" s="1"/>
    </row>
    <row r="42" ht="72.0" customHeight="1">
      <c r="A42" s="4" t="s">
        <v>466</v>
      </c>
      <c r="B42" s="4" t="s">
        <v>467</v>
      </c>
      <c r="C42" s="4" t="s">
        <v>468</v>
      </c>
      <c r="D42" s="1"/>
    </row>
    <row r="43" ht="27.75" customHeight="1">
      <c r="A43" s="1"/>
      <c r="B43" s="1"/>
      <c r="C43" s="1"/>
      <c r="D43" s="1"/>
    </row>
    <row r="44" ht="27.75" customHeight="1">
      <c r="A44" s="1"/>
      <c r="B44" s="1"/>
      <c r="C44" s="1"/>
      <c r="D44" s="1"/>
    </row>
    <row r="45" ht="27.75" customHeight="1">
      <c r="A45" s="1"/>
      <c r="B45" s="1"/>
      <c r="C45" s="1"/>
      <c r="D45" s="1"/>
    </row>
    <row r="46" ht="27.75" customHeight="1">
      <c r="A46" s="1"/>
      <c r="B46" s="1"/>
      <c r="C46" s="1"/>
      <c r="D46" s="1"/>
    </row>
    <row r="47" ht="27.75" customHeight="1">
      <c r="A47" s="1"/>
      <c r="B47" s="1"/>
      <c r="C47" s="1"/>
      <c r="D47" s="1"/>
    </row>
    <row r="48" ht="27.75" customHeight="1">
      <c r="A48" s="1"/>
      <c r="B48" s="1"/>
      <c r="C48" s="1"/>
      <c r="D48" s="1"/>
    </row>
    <row r="49" ht="27.75" customHeight="1">
      <c r="A49" s="1"/>
      <c r="B49" s="1"/>
      <c r="C49" s="1"/>
      <c r="D49" s="1"/>
    </row>
    <row r="50" ht="27.75" customHeight="1">
      <c r="A50" s="1"/>
      <c r="B50" s="1"/>
      <c r="C50" s="1"/>
      <c r="D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