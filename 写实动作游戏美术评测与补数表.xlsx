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总览" sheetId="1" r:id="rId5"/>
    <sheet state="visible" name="评分录入" sheetId="2" r:id="rId6"/>
    <sheet state="visible" name="60项标准" sheetId="3" r:id="rId7"/>
    <sheet state="visible" name="补数清单" sheetId="4" r:id="rId8"/>
    <sheet state="visible" name="使用说明" sheetId="5" r:id="rId9"/>
  </sheets>
  <definedNames/>
  <calcPr/>
</workbook>
</file>

<file path=xl/sharedStrings.xml><?xml version="1.0" encoding="utf-8"?>
<sst xmlns="http://schemas.openxmlformats.org/spreadsheetml/2006/main" count="1165" uniqueCount="610">
  <si>
    <t>写实动作游戏产品美术评审</t>
  </si>
  <si>
    <t>项目</t>
  </si>
  <si>
    <t>合金装备复仇重制（工作名）</t>
  </si>
  <si>
    <t>Build</t>
  </si>
  <si>
    <t>评测日期</t>
  </si>
  <si>
    <t>评测人</t>
  </si>
  <si>
    <t>目标FPS</t>
  </si>
  <si>
    <t>输出 / 重建</t>
  </si>
  <si>
    <t>视觉总分</t>
  </si>
  <si>
    <t>写实动作游戏美术标准（60项）</t>
  </si>
  <si>
    <t>补数清单</t>
  </si>
  <si>
    <t>评分录入</t>
  </si>
  <si>
    <t>分数段等级</t>
  </si>
  <si>
    <t>先索取同一Build的PS5实机录屏和性能记录，再做开关对照与参数核验。负责人确认事实后，由评审人在评分录入页给分。</t>
  </si>
  <si>
    <t>3分为基本合格。4分为高品质商品线。5分需在压力场景保持同等完成度。技术方案与参数本身不直接得分。</t>
  </si>
  <si>
    <t>编号</t>
  </si>
  <si>
    <t>黄色单元格为录入区。典型与压力评分均为0–5。0是实际不合格，空白是尚未评测。只有两项均有效才计算合成分。</t>
  </si>
  <si>
    <t>评测状态</t>
  </si>
  <si>
    <t>维度</t>
  </si>
  <si>
    <t>性能及响应</t>
  </si>
  <si>
    <t>指标</t>
  </si>
  <si>
    <t>需提交的数据 / 证据</t>
  </si>
  <si>
    <t>满分贡献</t>
  </si>
  <si>
    <t>已知事实</t>
  </si>
  <si>
    <t>典型评分</t>
  </si>
  <si>
    <t>3分：基本合格</t>
  </si>
  <si>
    <t>待验证</t>
  </si>
  <si>
    <t>待确认问题</t>
  </si>
  <si>
    <t>压力评分</t>
  </si>
  <si>
    <t>评分完成</t>
  </si>
  <si>
    <t>4分：高品质</t>
  </si>
  <si>
    <t>负责人</t>
  </si>
  <si>
    <t>合成分 / 5</t>
  </si>
  <si>
    <t>5分：旗舰表现</t>
  </si>
  <si>
    <t>最新测量结果</t>
  </si>
  <si>
    <t>得分贡献</t>
  </si>
  <si>
    <t>应提交的证据</t>
  </si>
  <si>
    <t>双场景核验</t>
  </si>
  <si>
    <t>典型场景证据</t>
  </si>
  <si>
    <t>优先改进方向</t>
  </si>
  <si>
    <t>证据完整</t>
  </si>
  <si>
    <t>压力场景证据</t>
  </si>
  <si>
    <t>参考来源</t>
  </si>
  <si>
    <t>Build / 机位</t>
  </si>
  <si>
    <t>证据链接</t>
  </si>
  <si>
    <t>缺陷与修复动作</t>
  </si>
  <si>
    <t>Build / 测量日期</t>
  </si>
  <si>
    <t>A1</t>
  </si>
  <si>
    <t>评分覆盖</t>
  </si>
  <si>
    <t>收集状态</t>
  </si>
  <si>
    <t>目标分 / 5</t>
  </si>
  <si>
    <t>评分完整</t>
  </si>
  <si>
    <t>整体视觉设计</t>
  </si>
  <si>
    <t>视觉语言统一</t>
  </si>
  <si>
    <t>目标增分</t>
  </si>
  <si>
    <t>风格规范；各章节固定镜头接触表</t>
  </si>
  <si>
    <t>证据覆盖</t>
  </si>
  <si>
    <t>同一关卡色彩、比例、工业设计无明显冲突</t>
  </si>
  <si>
    <t>跨关卡保持一致，重点区域有明确差异</t>
  </si>
  <si>
    <t>评审范围</t>
  </si>
  <si>
    <t>权重</t>
  </si>
  <si>
    <t>维度分 / 5</t>
  </si>
  <si>
    <t>分数贡献</t>
  </si>
  <si>
    <t>到4分的分差</t>
  </si>
  <si>
    <t>整体辨识度强且细节持续服务主题</t>
  </si>
  <si>
    <t>A</t>
  </si>
  <si>
    <t>针对“视觉语言统一”记录典型和压力缺陷，优先修复影响游玩及画面可信度的问题。</t>
  </si>
  <si>
    <t>项目内部建议标准；技术机制依据见配套报告</t>
  </si>
  <si>
    <t>A2</t>
  </si>
  <si>
    <t>构图与主次</t>
  </si>
  <si>
    <t>正常/压力战斗录像；目标识别测试</t>
  </si>
  <si>
    <t>常用视角主体与背景能分开</t>
  </si>
  <si>
    <t>移动、锁定及高密度战斗时主次稳定</t>
  </si>
  <si>
    <t>复杂场景仍能自然引导注意力且有观赏性</t>
  </si>
  <si>
    <t>针对“构图与主次”记录典型和压力缺陷，优先修复影响游玩及画面可信度的问题。</t>
  </si>
  <si>
    <t>A3</t>
  </si>
  <si>
    <t>空间与地标</t>
  </si>
  <si>
    <t>关卡路线；迷路及误识别记录</t>
  </si>
  <si>
    <t>路径、地标、战斗空间可辨识</t>
  </si>
  <si>
    <t>相似场景也能通过构图与光色建立记忆点</t>
  </si>
  <si>
    <t>空间叙事与玩法形成连续且独特的视觉体验</t>
  </si>
  <si>
    <t>A4</t>
  </si>
  <si>
    <t>针对“空间与地标”记录典型和压力缺陷，优先修复影响游玩及画面可信度的问题。</t>
  </si>
  <si>
    <t>色彩与明暗组织</t>
  </si>
  <si>
    <t>各场景亮度/色彩截图；曝光配置</t>
  </si>
  <si>
    <t>B</t>
  </si>
  <si>
    <t>场景与几何</t>
  </si>
  <si>
    <t>无大面积无意死黑、过曝或全灰</t>
  </si>
  <si>
    <t>光色变化支持节奏，敌人轮廓稳定</t>
  </si>
  <si>
    <t>克制且丰富的明暗层次贯穿全流程</t>
  </si>
  <si>
    <t>A5</t>
  </si>
  <si>
    <t>针对“色彩与明暗组织”记录典型和压力缺陷，优先修复影响游玩及画面可信度的问题。</t>
  </si>
  <si>
    <t>重制的现代呈现</t>
  </si>
  <si>
    <t>原作对应镜头；重制美术意图说明</t>
  </si>
  <si>
    <t>保留IP辨识且无明显时代不一致元素</t>
  </si>
  <si>
    <t>经典场景在比例、照明、材质上得到统一重构</t>
  </si>
  <si>
    <t>现代细节与原作气质融合，有自身标志性镜头</t>
  </si>
  <si>
    <t>B1</t>
  </si>
  <si>
    <t>C</t>
  </si>
  <si>
    <t>材质与纹理</t>
  </si>
  <si>
    <t>尺度与轮廓</t>
  </si>
  <si>
    <t>针对“重制的现代呈现”记录典型和压力缺陷，优先修复影响游玩及画面可信度的问题。</t>
  </si>
  <si>
    <t>游戏相机近中远景；几何/LOD说明</t>
  </si>
  <si>
    <t>门、台阶、结构和人物比例可信</t>
  </si>
  <si>
    <t>常见距离下曲面、倒角与重要轮廓完整</t>
  </si>
  <si>
    <t>B2</t>
  </si>
  <si>
    <t>近中远景轮廓均精致且服务构图</t>
  </si>
  <si>
    <t>结构与连接</t>
  </si>
  <si>
    <t>针对“尺度与轮廓”记录典型和压力缺陷，优先修复影响游玩及画面可信度的问题。</t>
  </si>
  <si>
    <t>正常路线及极端机位；问题坐标</t>
  </si>
  <si>
    <t>D</t>
  </si>
  <si>
    <t>灯光与间接光</t>
  </si>
  <si>
    <t>墙地交界、设备支撑和建筑连接合理</t>
  </si>
  <si>
    <t>遮挡背后及次要路径也无明显拼装穿帮</t>
  </si>
  <si>
    <t>B3</t>
  </si>
  <si>
    <t>密度与重复控制</t>
  </si>
  <si>
    <t>结构层级、受力逻辑与功能细节高度可信</t>
  </si>
  <si>
    <t>章节抽样；重复模块分布；屏幕占比</t>
  </si>
  <si>
    <t>针对“结构与连接”记录典型和压力缺陷，优先修复影响游玩及画面可信度的问题。</t>
  </si>
  <si>
    <t>E</t>
  </si>
  <si>
    <t>阴影与接触关系</t>
  </si>
  <si>
    <t>B4</t>
  </si>
  <si>
    <t>正常路线不显著空洞或重复铺排</t>
  </si>
  <si>
    <t>大中小细节有层级，重复纹理与模块被有效化解</t>
  </si>
  <si>
    <t>场景融合与叙事</t>
  </si>
  <si>
    <t>密度随叙事与战斗节奏变化，持续保持差异性</t>
  </si>
  <si>
    <t>地面过渡、贴花、磨损和环境故事样例</t>
  </si>
  <si>
    <t>针对“密度与重复控制”记录典型和压力缺陷，优先修复影响游玩及画面可信度的问题。</t>
  </si>
  <si>
    <t>B5</t>
  </si>
  <si>
    <t>F</t>
  </si>
  <si>
    <t>反射与环境照明输入</t>
  </si>
  <si>
    <t>植被/碎屑/损伤/污迹符合环境</t>
  </si>
  <si>
    <t>接地过渡自然，使用与破坏痕迹形成逻辑</t>
  </si>
  <si>
    <t>距离与流送完整性</t>
  </si>
  <si>
    <t>Nanite/LOD/HLOD与裁剪配置；冷/热跑录像</t>
  </si>
  <si>
    <t>可探索细节丰富但不造成视觉噪声</t>
  </si>
  <si>
    <t>针对“场景融合与叙事”记录典型和压力缺陷，优先修复影响游玩及画面可信度的问题。</t>
  </si>
  <si>
    <t>C1</t>
  </si>
  <si>
    <t>正常路线无明显空洞、物体突现</t>
  </si>
  <si>
    <t>PBR响应与物质区分</t>
  </si>
  <si>
    <t>快跑回头及场景切换下几何细节保持连续</t>
  </si>
  <si>
    <t>BaseColor/Roughness/Metallic视图；材质样本</t>
  </si>
  <si>
    <t>高压移动及长视距下仍无引人注意的切换</t>
  </si>
  <si>
    <t>G</t>
  </si>
  <si>
    <t>大气与雾</t>
  </si>
  <si>
    <t>针对“距离与流送完整性”记录典型和压力缺陷，优先修复影响游玩及画面可信度的问题。</t>
  </si>
  <si>
    <t>C2</t>
  </si>
  <si>
    <t>金属、漆、塑料、石材对光反应可区分</t>
  </si>
  <si>
    <t>不同光照下仍可信，无普遍塑料感</t>
  </si>
  <si>
    <t>纹理的有效清晰度</t>
  </si>
  <si>
    <t>复杂复合材质有细腻且稳定的能量与层次感</t>
  </si>
  <si>
    <t>源/导入/驻留mip；Texel密度；各向异性设置</t>
  </si>
  <si>
    <t>针对“PBR响应与物质区分”记录典型和压力缺陷，优先修复影响游玩及画面可信度的问题。</t>
  </si>
  <si>
    <t>H</t>
  </si>
  <si>
    <t>角色与动作呈现</t>
  </si>
  <si>
    <t>C3</t>
  </si>
  <si>
    <t>正常游戏距离主体不糊，密度无突兀落差</t>
  </si>
  <si>
    <t>粗糙度与法线质量</t>
  </si>
  <si>
    <t>近景与掠射角细节充分且无过度锐化</t>
  </si>
  <si>
    <t>粗糙度/法线视图；旋转光源和移动录像</t>
  </si>
  <si>
    <t>主要观察距离细节丰富且移动中可持续辨认</t>
  </si>
  <si>
    <t>针对“纹理的有效清晰度”记录典型和压力缺陷，优先修复影响游玩及画面可信度的问题。</t>
  </si>
  <si>
    <t>I</t>
  </si>
  <si>
    <t>特效与战斗反馈</t>
  </si>
  <si>
    <t>C4</t>
  </si>
  <si>
    <t>接缝与平铺痕迹</t>
  </si>
  <si>
    <t>无普遍高光噪声、法线接缝或错误翻转</t>
  </si>
  <si>
    <t>近景、斜角、模块边界；材质复杂度</t>
  </si>
  <si>
    <t>磨损、涂层和凹凸尺度合理</t>
  </si>
  <si>
    <t>细微表面变化在多种光照和运动下都成立</t>
  </si>
  <si>
    <t>针对“粗糙度与法线质量”记录典型和压力缺陷，优先修复影响游玩及画面可信度的问题。</t>
  </si>
  <si>
    <t>C5</t>
  </si>
  <si>
    <t>J</t>
  </si>
  <si>
    <t>运动画质与重建</t>
  </si>
  <si>
    <t>材质状态一致性</t>
  </si>
  <si>
    <t>状态切换录像；材质实例和平台压缩配置</t>
  </si>
  <si>
    <t>主要视角无显眼UV缝与贴花悬浮</t>
  </si>
  <si>
    <t>大表面与模块接缝自然融合</t>
  </si>
  <si>
    <t>近景与复杂曲面也少有可辨的制作痕迹</t>
  </si>
  <si>
    <t>针对“接缝与平铺痕迹”记录典型和压力缺陷，优先修复影响游玩及画面可信度的问题。</t>
  </si>
  <si>
    <t>干湿、锈蚀、积尘、破损逻辑自洽</t>
  </si>
  <si>
    <t>状态与天气、动作及环境接触相吻合</t>
  </si>
  <si>
    <t>变化连续可信，兼顾远中近景</t>
  </si>
  <si>
    <t>D1</t>
  </si>
  <si>
    <t>针对“材质状态一致性”记录典型和压力缺陷，优先修复影响游玩及画面可信度的问题。</t>
  </si>
  <si>
    <t>主光与动机</t>
  </si>
  <si>
    <t>Lit/Lighting Only；光源清单和设计意图</t>
  </si>
  <si>
    <t>K</t>
  </si>
  <si>
    <t>后期与显示</t>
  </si>
  <si>
    <t>主要光源方向、颜色和照射范围合理</t>
  </si>
  <si>
    <t>空间层次清楚，角色始终有可信的塑形</t>
  </si>
  <si>
    <t>复杂场景保持精确且富有表现力的光照组织</t>
  </si>
  <si>
    <t>针对“主光与动机”记录典型和压力缺陷，优先修复影响游玩及画面可信度的问题。</t>
  </si>
  <si>
    <t>D2</t>
  </si>
  <si>
    <t>间接光与空间遮蔽</t>
  </si>
  <si>
    <t>室内外亮度关系可信，无普遍漂浮平光</t>
  </si>
  <si>
    <t>GI路径；Lumen或烘焙诊断；开关对比</t>
  </si>
  <si>
    <t>角落、开口、遮挡处层次完整且无明显漏光</t>
  </si>
  <si>
    <t>复杂空间与移动物体也有稳定自然的反弹光</t>
  </si>
  <si>
    <t>针对“间接光与空间遮蔽”记录典型和压力缺陷，优先修复影响游玩及画面可信度的问题。</t>
  </si>
  <si>
    <t>L</t>
  </si>
  <si>
    <t>全流程一致性</t>
  </si>
  <si>
    <t>D3</t>
  </si>
  <si>
    <t>光照一致性</t>
  </si>
  <si>
    <t>人物、场景与天空的光向色温不冲突</t>
  </si>
  <si>
    <t>动态角色进入不同区域时光照自然衔接</t>
  </si>
  <si>
    <t>人物和环境在复杂动光下始终融为一体</t>
  </si>
  <si>
    <t>角色穿行室内外、阴影区录像</t>
  </si>
  <si>
    <t>针对“光照一致性”记录典型和压力缺陷，优先修复影响游玩及画面可信度的问题。</t>
  </si>
  <si>
    <t>D4</t>
  </si>
  <si>
    <t>动态光响应</t>
  </si>
  <si>
    <t>攻击闪光、灯光变化不造成明显错误</t>
  </si>
  <si>
    <t>开门、破坏、动光更新及时且无显眼滞后</t>
  </si>
  <si>
    <t>极端动作和多光源下仍稳定可信</t>
  </si>
  <si>
    <t>合计</t>
  </si>
  <si>
    <t>动光/破坏录像；更新延迟；GPU分项</t>
  </si>
  <si>
    <t>针对“动态光响应”记录典型和压力缺陷，优先修复影响游玩及画面可信度的问题。</t>
  </si>
  <si>
    <t>D5</t>
  </si>
  <si>
    <t>全流程灯光覆盖</t>
  </si>
  <si>
    <t>普通路线与次要空间无明显未完成照明</t>
  </si>
  <si>
    <t>多个章节保持稳定完成度</t>
  </si>
  <si>
    <t>昼夜、天气和复杂支线仍维持统一高水准</t>
  </si>
  <si>
    <t>平台</t>
  </si>
  <si>
    <t>基础PS5</t>
  </si>
  <si>
    <t>章节接触表；Lighting质量配置与例外清单</t>
  </si>
  <si>
    <t>关键缺陷审查</t>
  </si>
  <si>
    <t>针对“全流程灯光覆盖”记录典型和压力缺陷，优先修复影响游玩及画面可信度的问题。</t>
  </si>
  <si>
    <t>产品验收</t>
  </si>
  <si>
    <t>E1</t>
  </si>
  <si>
    <t>角色与物体接地</t>
  </si>
  <si>
    <t>脚底和大型物体无明显漂浮</t>
  </si>
  <si>
    <t>视觉底线</t>
  </si>
  <si>
    <t>跳跃落地、贴墙及斜坡接触自然</t>
  </si>
  <si>
    <t>复杂动作下接触关系精确且稳定</t>
  </si>
  <si>
    <t>脚底/墙角/斜坡录像；接触阴影方案</t>
  </si>
  <si>
    <t>针对“角色与物体接地”记录典型和压力缺陷，优先修复影响游玩及画面可信度的问题。</t>
  </si>
  <si>
    <t>E2</t>
  </si>
  <si>
    <t>阴影形状与柔度</t>
  </si>
  <si>
    <t>用户反馈：为争取60FPS采用相对较低设置；实际PS5配置待补</t>
  </si>
  <si>
    <t>方向与光源一致，无明显断裂</t>
  </si>
  <si>
    <t>提交所选模式的PS5设备配置、质量分级、项目与运行时CVar覆盖、屏幕百分比和GPU/CPU分项耗时。</t>
  </si>
  <si>
    <t>硬软过渡随光源与距离合理变化</t>
  </si>
  <si>
    <t>细节、柔度和空间关系在主要场景都可信</t>
  </si>
  <si>
    <t>主光和局部灯阴影样例；阴影方法</t>
  </si>
  <si>
    <t>针对“阴影形状与柔度”记录典型和压力缺陷，优先修复影响游玩及画面可信度的问题。</t>
  </si>
  <si>
    <t>待补</t>
  </si>
  <si>
    <t>E3</t>
  </si>
  <si>
    <t>小尺度遮蔽</t>
  </si>
  <si>
    <t>领先认定</t>
  </si>
  <si>
    <t>机械接缝和交叠位置有合理深度感</t>
  </si>
  <si>
    <t>自然且不过黑，不产生脏边或宽大光晕</t>
  </si>
  <si>
    <t>动态接缝和复杂接触也保留可信细节</t>
  </si>
  <si>
    <t>实际遮蔽机制说明；匹配机制的A/B</t>
  </si>
  <si>
    <t>针对“小尺度遮蔽”记录典型和压力缺陷，优先修复影响游玩及画面可信度的问题。</t>
  </si>
  <si>
    <t>E4</t>
  </si>
  <si>
    <t>每种30/40/60 FPS模式单独评测。视觉分与性能分开，验收需同时达到视觉底线及所选模式性能。</t>
  </si>
  <si>
    <t>黄色为录入区。总分空白表示资料不足。各维度5项；同维度内等权；满分贡献合计100分。</t>
  </si>
  <si>
    <t>阴影覆盖与漏光</t>
  </si>
  <si>
    <t>高品质底线：D/J≥4，B/C/E/H≥3.5，I1压力分≥4，全部单项合成≥3，且视觉总分≥80。</t>
  </si>
  <si>
    <t>主要角色和关键物件不会无故缺阴影</t>
  </si>
  <si>
    <t>所有等级为内部建议标准。先以统一Build实机对标校准，30/40/60 FPS与动作响应条件由项目共同定版。</t>
  </si>
  <si>
    <t>远近、室内外衔接自然，无明显漏光</t>
  </si>
  <si>
    <t>计划增分</t>
  </si>
  <si>
    <t>大范围复杂场景阴影覆盖连续</t>
  </si>
  <si>
    <t>阴影距离/分辨率；薄墙及远景录像</t>
  </si>
  <si>
    <t>针对“阴影覆盖与漏光”记录典型和压力缺陷，优先修复影响游玩及画面可信度的问题。</t>
  </si>
  <si>
    <t>目标模拟分</t>
  </si>
  <si>
    <t>E5</t>
  </si>
  <si>
    <t>动态阴影稳定性</t>
  </si>
  <si>
    <t>在评分录入O列填写目标，可模拟所选改进项的增分。模拟值需在对应模式重测兑现，不作为验收证据。</t>
  </si>
  <si>
    <t>正常移动无严重跳动与闪烁</t>
  </si>
  <si>
    <t>转镜头、战斗与光源移动下稳定</t>
  </si>
  <si>
    <t>最坏负载仍无明显缓存、裁剪或滤波瑕疵</t>
  </si>
  <si>
    <t>VSM/传统阴影诊断；动态缓存失效及耗时</t>
  </si>
  <si>
    <t>针对“动态阴影稳定性”记录典型和压力缺陷，优先修复影响游玩及画面可信度的问题。</t>
  </si>
  <si>
    <t>用户反馈：对方称AO开启，但当前AO调试视图全白；具体路径待核验</t>
  </si>
  <si>
    <t>提交引擎版本、渲染路径、GI与遮蔽机制，以及匹配机制的诊断和脚底/墙角同机位开关对照。</t>
  </si>
  <si>
    <t>F1</t>
  </si>
  <si>
    <t>关键材质反射</t>
  </si>
  <si>
    <t>金属、玻璃、湿地能反映合理环境</t>
  </si>
  <si>
    <t>主要反射的方向、明暗和遮挡可信</t>
  </si>
  <si>
    <t>复杂表面和动态主体反射细节丰富且稳定</t>
  </si>
  <si>
    <t>典型材质Lit录像；反射路径和质量设置</t>
  </si>
  <si>
    <t>针对“关键材质反射”记录典型和压力缺陷，优先修复影响游玩及画面可信度的问题。</t>
  </si>
  <si>
    <t>F2</t>
  </si>
  <si>
    <t>屏幕外与遮挡行为</t>
  </si>
  <si>
    <t>反射缺失不频繁破坏正常画面</t>
  </si>
  <si>
    <t>相机转动、对象出屏后过渡自然</t>
  </si>
  <si>
    <t>复杂遮挡与移动镜头下反射持续可信</t>
  </si>
  <si>
    <t>SSR/Lumen/捕获混合方案；出屏录像</t>
  </si>
  <si>
    <t>针对“屏幕外与遮挡行为”记录典型和压力缺陷，优先修复影响游玩及画面可信度的问题。</t>
  </si>
  <si>
    <t>F3</t>
  </si>
  <si>
    <t>粗糙反射与噪声</t>
  </si>
  <si>
    <t>无大面积刺眼噪声或油画状闪动</t>
  </si>
  <si>
    <t>不同粗糙度层级可辨且动态稳定</t>
  </si>
  <si>
    <t>低光及复杂金属环境仍干净细腻</t>
  </si>
  <si>
    <t>粗糙度分级测试；去噪/追踪参数</t>
  </si>
  <si>
    <t>针对“粗糙反射与噪声”记录典型和压力缺陷，优先修复影响游玩及画面可信度的问题。</t>
  </si>
  <si>
    <t>F4</t>
  </si>
  <si>
    <t>天空与HDRI匹配</t>
  </si>
  <si>
    <t>天空、光向、色温和反射不明显矛盾</t>
  </si>
  <si>
    <t>源图与现场光照自然融合且无可见接缝</t>
  </si>
  <si>
    <t>时间天气变化及反射环境保持统一</t>
  </si>
  <si>
    <t>HDRI用途/格式/动态范围；SkyLight源类型</t>
  </si>
  <si>
    <t>针对“天空与HDRI匹配”记录典型和压力缺陷，优先修复影响游玩及画面可信度的问题。</t>
  </si>
  <si>
    <t>F5</t>
  </si>
  <si>
    <t>分辨率与捕获有效性</t>
  </si>
  <si>
    <t>正常视角天空与反射无显著模糊</t>
  </si>
  <si>
    <t>近景镜面和高占屏背景也达到意图</t>
  </si>
  <si>
    <t>主要及极限合法观察距离下，背景和关键反射清晰、无显眼接缝失真，运动中稳定</t>
  </si>
  <si>
    <t>源/运行尺寸；cubemap分辨率；4K/8K受控A/B</t>
  </si>
  <si>
    <t>针对“分辨率与捕获有效性”记录典型和压力缺陷，优先修复影响游玩及画面可信度的问题。</t>
  </si>
  <si>
    <t>G1</t>
  </si>
  <si>
    <t>远中近空间层次</t>
  </si>
  <si>
    <t>距离层次可读且符合天气和空间意图</t>
  </si>
  <si>
    <t>前中后景分离自然，远景不突兀</t>
  </si>
  <si>
    <t>复杂纵深与构图保持精细且一致的空气感</t>
  </si>
  <si>
    <t>长视距同机位；天气和高度雾参数</t>
  </si>
  <si>
    <t>针对“远中近空间层次”记录典型和压力缺陷，优先修复影响游玩及画面可信度的问题。</t>
  </si>
  <si>
    <t>G2</t>
  </si>
  <si>
    <t>局部分布与高度关系</t>
  </si>
  <si>
    <t>需要雾的区域密度与高度合理</t>
  </si>
  <si>
    <t>厂房、谷地、通道等具有合适的局部变化</t>
  </si>
  <si>
    <t>局部变化精致自然，和场景叙事相配</t>
  </si>
  <si>
    <t>局部雾内容；密度/消光；开关对比</t>
  </si>
  <si>
    <t>针对“局部分布与高度关系”记录典型和压力缺陷，优先修复影响游玩及画面可信度的问题。</t>
  </si>
  <si>
    <t>G3</t>
  </si>
  <si>
    <t>光照散射与遮挡</t>
  </si>
  <si>
    <t>需要光束时位置和遮挡可信</t>
  </si>
  <si>
    <t>光与雾有丰富但克制的空间互动</t>
  </si>
  <si>
    <t>多光源复杂空间也有稳定细腻的散射层次</t>
  </si>
  <si>
    <t>逆光镜头；灯光体积贡献与阴影</t>
  </si>
  <si>
    <t>针对“光照散射与遮挡”记录典型和压力缺陷，优先修复影响游玩及画面可信度的问题。</t>
  </si>
  <si>
    <t>G4</t>
  </si>
  <si>
    <t>动态雾质量</t>
  </si>
  <si>
    <t>无显著条带、格子、切面或跟随镜头穿帮</t>
  </si>
  <si>
    <t>转镜头与闪光下少有拖影及噪声</t>
  </si>
  <si>
    <t>高压动光和快速位移下仍保持品质</t>
  </si>
  <si>
    <t>网格/距离；挥刀闪光及转向录像；GPU耗时</t>
  </si>
  <si>
    <t>针对“动态雾质量”记录典型和压力缺陷，优先修复影响游玩及画面可信度的问题。</t>
  </si>
  <si>
    <t>G5</t>
  </si>
  <si>
    <t>用户反馈：HDRI源图为4K；运行尺寸、用途及采样待核验</t>
  </si>
  <si>
    <t>源图用途是什么？提交源格式/动态范围、导入与驻留mip、SkyLight/反射捕获尺寸，以及同机位4K/8K对照。</t>
  </si>
  <si>
    <t>气氛与可读性平衡</t>
  </si>
  <si>
    <t>雾不遮住主要敌人和攻击预兆</t>
  </si>
  <si>
    <t>氛围增强而目标识别保持清楚</t>
  </si>
  <si>
    <t>天气、战斗和情绪变化均可控且有表现力</t>
  </si>
  <si>
    <t>战斗可读性录像；雾开关和轮廓对比</t>
  </si>
  <si>
    <t>针对“气氛与可读性平衡”记录典型和压力缺陷，优先修复影响游玩及画面可信度的问题。</t>
  </si>
  <si>
    <t>H1</t>
  </si>
  <si>
    <t>主角和主要敌人外观</t>
  </si>
  <si>
    <t>正常相机下造型、材质与细节完成</t>
  </si>
  <si>
    <t>特写和战斗距离都具有高完成度</t>
  </si>
  <si>
    <t>标志性角色在多角度多光照下接近参考上限</t>
  </si>
  <si>
    <t>实机近中景；角色材质/LOD/皮肤或装甲</t>
  </si>
  <si>
    <t>针对“主角和主要敌人外观”记录典型和压力缺陷，优先修复影响游玩及画面可信度的问题。</t>
  </si>
  <si>
    <t>H2</t>
  </si>
  <si>
    <t>角色融入场景</t>
  </si>
  <si>
    <t>使用说明与评分口径</t>
  </si>
  <si>
    <t>角色无明显悬浮、光色脱节或反射错误</t>
  </si>
  <si>
    <t>典型场景权重</t>
  </si>
  <si>
    <t>场景选取需覆盖主要关卡、光照和材质。</t>
  </si>
  <si>
    <t>压力场景权重</t>
  </si>
  <si>
    <t>进入不同区域能保持可信体积和材质</t>
  </si>
  <si>
    <t>高速转镜、最重战斗、破坏、粒子与场景切换。</t>
  </si>
  <si>
    <t>复杂环境下仍有精细且自然的融合</t>
  </si>
  <si>
    <t>评分值</t>
  </si>
  <si>
    <t>统一含义</t>
  </si>
  <si>
    <t>判断要求</t>
  </si>
  <si>
    <t>穿越多光照区域录像</t>
  </si>
  <si>
    <t>严重失效</t>
  </si>
  <si>
    <t>该目标实际失效，明显损害商品体验。禁止用0表示缺失数据。</t>
  </si>
  <si>
    <t>针对“角色融入场景”记录典型和压力缺陷，优先修复影响游玩及画面可信度的问题。</t>
  </si>
  <si>
    <t>明显落后</t>
  </si>
  <si>
    <t>常态游玩即可发现，破坏可信度、辨识或完整性。</t>
  </si>
  <si>
    <t>低于基本合格</t>
  </si>
  <si>
    <t>功能有表现，但常见镜头缺陷明显，需要重点修复。</t>
  </si>
  <si>
    <t>基本合格</t>
  </si>
  <si>
    <t>典型游玩基本可信。一般缺陷可控，达到该项基本标准。</t>
  </si>
  <si>
    <t>高品质</t>
  </si>
  <si>
    <t>在多数游玩场景稳定达到高品质。缺陷较轻，表现一致。</t>
  </si>
  <si>
    <t>旗舰表现</t>
  </si>
  <si>
    <t>高完成度与动态稳定性兼备，压力场景也经得起检验。</t>
  </si>
  <si>
    <t>H3</t>
  </si>
  <si>
    <t>得分计算</t>
  </si>
  <si>
    <t>变形与动画衔接</t>
  </si>
  <si>
    <t>公式</t>
  </si>
  <si>
    <t>缺失数据处理</t>
  </si>
  <si>
    <t>单项合成分</t>
  </si>
  <si>
    <t>典型 × 70% + 压力 × 30%</t>
  </si>
  <si>
    <t>两项有效才计算，评分保留0–5小数。</t>
  </si>
  <si>
    <t>单项贡献</t>
  </si>
  <si>
    <t>合成分 ÷ 5 × 满分贡献</t>
  </si>
  <si>
    <t>60项满分贡献合计100。按各维度权重分配。</t>
  </si>
  <si>
    <t>证据权重覆盖率</t>
  </si>
  <si>
    <t>已核验项权重合计 ÷ 100</t>
  </si>
  <si>
    <t>双场景已核验且证据、Build/机位齐全。评分覆盖率同样按指标权重统计，完整项数另列。</t>
  </si>
  <si>
    <t>正式总分与等级</t>
  </si>
  <si>
    <t>60项评分及证据齐全后判定</t>
  </si>
  <si>
    <t>不足时保持空白。不得将已测少数项目外推为全商品等级。</t>
  </si>
  <si>
    <t>关节无严重塌陷、滑步或突兀切换</t>
  </si>
  <si>
    <t>最低分</t>
  </si>
  <si>
    <t>等级</t>
  </si>
  <si>
    <t>用于商品评审的含义</t>
  </si>
  <si>
    <t>高速动作、受击、转身变形稳定</t>
  </si>
  <si>
    <t>D 低于基础线</t>
  </si>
  <si>
    <t>0–59.9，视觉基础存在明显不足。</t>
  </si>
  <si>
    <t>C 基础完成</t>
  </si>
  <si>
    <t>60–69.9，基础完成，但商品竞争力有限。</t>
  </si>
  <si>
    <t>连续交互与极端姿势下体积和接触精细</t>
  </si>
  <si>
    <t>B 尚有明显差距</t>
  </si>
  <si>
    <t>70–79.9，距离高品质目标仍有显著短板。</t>
  </si>
  <si>
    <t>A 高品质目标</t>
  </si>
  <si>
    <t>80–89.9，另需关键维度、模式性能及缺陷审查通过。</t>
  </si>
  <si>
    <t>S 领先分数段</t>
  </si>
  <si>
    <t>90–100，建议全部维度≥4且无关键缺陷才称领先。</t>
  </si>
  <si>
    <t>动作合集；骨骼/布料/附属件配置</t>
  </si>
  <si>
    <t>用户反馈：体积雾已开启，但观察镜头中变化不明显</t>
  </si>
  <si>
    <t>固定评测条件</t>
  </si>
  <si>
    <t>针对“变形与动画衔接”记录典型和压力缺陷，优先修复影响游玩及画面可信度的问题。</t>
  </si>
  <si>
    <t>平台 / 模式 / Build</t>
  </si>
  <si>
    <t>基础PS5。每种30/40/60 FPS模式单独使用一份评分表。60为优先争取目标，不以非60一票否决。</t>
  </si>
  <si>
    <t>证据内容</t>
  </si>
  <si>
    <t>先看最终实机，再看技术解释</t>
  </si>
  <si>
    <t>保留无损截图、正常游玩录屏、同机位A/B对照、GPU与CPU帧时间、缺陷出现频率。</t>
  </si>
  <si>
    <t>提交同机位开关对照与快速转镜/动光录像；记录密度、消光、网格/距离、灯光体积贡献和GPU成本。</t>
  </si>
  <si>
    <t>分辨率与采样</t>
  </si>
  <si>
    <t>不能仅看贴图标称大小</t>
  </si>
  <si>
    <t>HDRI要核对用途、动态范围、有效mip、采样与实际反射表现。4K或8K本身不加减分。</t>
  </si>
  <si>
    <t>AO与雾</t>
  </si>
  <si>
    <t>不能仅看启用开关</t>
  </si>
  <si>
    <t>核验渲染路径与最终空间层次。白色AO视图不能单独证明整体无遮蔽。晴朗低雾不自动扣分。</t>
  </si>
  <si>
    <t>对标方式</t>
  </si>
  <si>
    <t>同平台、同模式、同类场景</t>
  </si>
  <si>
    <t>匹配机位、环境复杂度与运动状态。按承诺SDR/HDR支持范围评K5，无HDR不自动低分。</t>
  </si>
  <si>
    <t>H4</t>
  </si>
  <si>
    <t>不适用项</t>
  </si>
  <si>
    <t>评审前固定范围与权重</t>
  </si>
  <si>
    <t>本表默认60项均适用。确实不适用时由总监签字调整标准与权重，再开始评分。禁止写0或临时删除短板。</t>
  </si>
  <si>
    <t>标准性质</t>
  </si>
  <si>
    <t>项目评审建议线 v1.0</t>
  </si>
  <si>
    <t>等级与权重是本项目的评审提案。通过首轮实机对标校准，不能宣称为通用行业认证。</t>
  </si>
  <si>
    <t>高品质验收底线</t>
  </si>
  <si>
    <t>视觉分≥80</t>
  </si>
  <si>
    <t>D灯光、J运动画质≥4。B场景、C材质、E阴影、H角色≥3.5。</t>
  </si>
  <si>
    <t>武器与切割破坏</t>
  </si>
  <si>
    <t>压力与单项底线</t>
  </si>
  <si>
    <t>I1压力分≥4</t>
  </si>
  <si>
    <t>所有单项合成分≥3，避免高分掩盖明显短板。</t>
  </si>
  <si>
    <t>产品验收状态</t>
  </si>
  <si>
    <t>视觉与性能分开</t>
  </si>
  <si>
    <t>在视觉底线满足后，所选模式性能与动作响应、关键缺陷审查都通过，才显示验收通过。</t>
  </si>
  <si>
    <t>90分领先认定</t>
  </si>
  <si>
    <t>分数段与认定分开</t>
  </si>
  <si>
    <t>90分只是数字区间。全部12维度≥4、无关键缺陷、模式性能通过后，才建议认定为领先。</t>
  </si>
  <si>
    <t>低帧率模式审查</t>
  </si>
  <si>
    <t>刀刃、命中位置和切割结果逻辑一致</t>
  </si>
  <si>
    <t>动作响应必须实测</t>
  </si>
  <si>
    <t>40 FPS另核验显示刷新率条件。30 FPS另核验动作响应与动态清晰度，不能只测静态画质。</t>
  </si>
  <si>
    <t>高速连段及多人接触仍可读且自然</t>
  </si>
  <si>
    <t>切割表面、残骸、动效和材质响应高度统一</t>
  </si>
  <si>
    <t>切割/断裂录像；碎片上限与退场规则</t>
  </si>
  <si>
    <t>针对“武器与切割破坏”记录典型和压力缺陷，优先修复影响游玩及画面可信度的问题。</t>
  </si>
  <si>
    <t>H5</t>
  </si>
  <si>
    <t>角色细节的动态稳定</t>
  </si>
  <si>
    <t>头发、布料、装甲边缘无严重穿插闪动</t>
  </si>
  <si>
    <t>跑动、近景、转镜头时细节保持稳定</t>
  </si>
  <si>
    <t>复杂运动下细小部件仍可信且清楚</t>
  </si>
  <si>
    <t>头发/布料/附件近景及压力录像</t>
  </si>
  <si>
    <t>针对“角色细节的动态稳定”记录典型和压力缺陷，优先修复影响游玩及画面可信度的问题。</t>
  </si>
  <si>
    <t>I1</t>
  </si>
  <si>
    <t>攻击预兆与目标可读</t>
  </si>
  <si>
    <t>能辨敌人、攻击方向与危险区</t>
  </si>
  <si>
    <t>多人战斗和强特效下关键信息仍清楚</t>
  </si>
  <si>
    <t>高潮战斗也有精确的注意力引导</t>
  </si>
  <si>
    <t>最坏战斗录像；设计规定的预兆时间窗</t>
  </si>
  <si>
    <t>针对“攻击预兆与目标可读”记录典型和压力缺陷，优先修复影响游玩及画面可信度的问题。</t>
  </si>
  <si>
    <t>I2</t>
  </si>
  <si>
    <t>命中节奏与力度</t>
  </si>
  <si>
    <t>命中、闪光、火花和动作时间对齐</t>
  </si>
  <si>
    <t>不同武器/材质/力度有清晰差异</t>
  </si>
  <si>
    <t>反馈层次丰富且与玩法节奏高度统一</t>
  </si>
  <si>
    <t>逐帧命中时序；不同表面命中样例</t>
  </si>
  <si>
    <t>针对“命中节奏与力度”记录典型和压力缺陷，优先修复影响游玩及画面可信度的问题。</t>
  </si>
  <si>
    <t>I3</t>
  </si>
  <si>
    <t>特效材质与空间感</t>
  </si>
  <si>
    <t>烟尘、火花、能量有合理尺度和遮挡</t>
  </si>
  <si>
    <t>少见卡片穿帮、硬交线、透明排序错误</t>
  </si>
  <si>
    <t>复杂特效在多视角下仍有体积与层次</t>
  </si>
  <si>
    <t>Niagara/材质设置；深度交界和斜角录像</t>
  </si>
  <si>
    <t>针对“特效材质与空间感”记录典型和压力缺陷，优先修复影响游玩及画面可信度的问题。</t>
  </si>
  <si>
    <t>I4</t>
  </si>
  <si>
    <t>环境互动与残留</t>
  </si>
  <si>
    <t>爆炸、命中、碎屑与环境接触合理</t>
  </si>
  <si>
    <t>光照、贴花、烟尘及残留持续时间协调</t>
  </si>
  <si>
    <t>连锁互动和破坏留下可信且受控的结果</t>
  </si>
  <si>
    <t>灯光/贴花/碎片/残留预算；连续战斗</t>
  </si>
  <si>
    <t>针对“环境互动与残留”记录典型和压力缺陷，优先修复影响游玩及画面可信度的问题。</t>
  </si>
  <si>
    <t>I5</t>
  </si>
  <si>
    <t>压力下的特效品质</t>
  </si>
  <si>
    <t>负载高时关键特效不会突然消失</t>
  </si>
  <si>
    <t>降级保留攻击信息且视觉过渡自然</t>
  </si>
  <si>
    <t>大规模战斗保持表现力、信息完整与降级连续性</t>
  </si>
  <si>
    <t>并发峰值；Overdraw；Niagara分级/裁剪策略</t>
  </si>
  <si>
    <t>针对“压力下的特效品质”记录典型和压力缺陷，优先修复影响游玩及画面可信度的问题。</t>
  </si>
  <si>
    <t>J1</t>
  </si>
  <si>
    <t>高速运动清晰度</t>
  </si>
  <si>
    <t>跑动转镜头时主体轮廓可辨</t>
  </si>
  <si>
    <t>高速锁定、闪避和攻击保持关键细节</t>
  </si>
  <si>
    <t>高频背景下快速移动仍清楚且稳定</t>
  </si>
  <si>
    <t>所选模式对应帧率的实机录像；内部/输出分辨率</t>
  </si>
  <si>
    <t>针对“高速运动清晰度”记录典型和压力缺陷，优先修复影响游玩及画面可信度的问题。</t>
  </si>
  <si>
    <t>J2</t>
  </si>
  <si>
    <t>拖影与历史残留</t>
  </si>
  <si>
    <t>角色、武器和粒子无严重拖尾</t>
  </si>
  <si>
    <t>遮挡变化、闪光和新出现区域快速恢复</t>
  </si>
  <si>
    <t>极端对比与速度下仍少见时间重建瑕疵</t>
  </si>
  <si>
    <t>TSR/TAA/其他重建版本；速度缓冲诊断</t>
  </si>
  <si>
    <t>针对“拖影与历史残留”记录典型和压力缺陷，优先修复影响游玩及画面可信度的问题。</t>
  </si>
  <si>
    <t>J3</t>
  </si>
  <si>
    <t>细节闪烁控制</t>
  </si>
  <si>
    <t>线缆、栅格、毛发和高光无严重爬动</t>
  </si>
  <si>
    <t>正常移动时高频细节稳定</t>
  </si>
  <si>
    <t>复杂细密结构在长视距和战斗下也稳定</t>
  </si>
  <si>
    <t>细结构及高光场景；AA/材质A/B</t>
  </si>
  <si>
    <t>针对“细节闪烁控制”记录典型和压力缺陷，优先修复影响游玩及画面可信度的问题。</t>
  </si>
  <si>
    <t>J4</t>
  </si>
  <si>
    <t>动态分辨率退化</t>
  </si>
  <si>
    <t>最低常见分辨率下角色及预兆仍可辨</t>
  </si>
  <si>
    <t>降分辨率时不持续糊成块或锐化出边</t>
  </si>
  <si>
    <t>压力段也能维持接近常态的观感</t>
  </si>
  <si>
    <t>动态分辨率最小/中位/分布；压力段画面</t>
  </si>
  <si>
    <t>针对“动态分辨率退化”记录典型和压力缺陷，优先修复影响游玩及画面可信度的问题。</t>
  </si>
  <si>
    <t>J5</t>
  </si>
  <si>
    <t>时间连续性与切换</t>
  </si>
  <si>
    <t>LOD、光照和特效切换不集中突跳</t>
  </si>
  <si>
    <t>快速回头、传送、镜头切换后恢复自然</t>
  </si>
  <si>
    <t>跨系统切换与重建连续，少有可感知重置</t>
  </si>
  <si>
    <t>同时间轴多系统切换录像；缺陷发生率</t>
  </si>
  <si>
    <t>针对“时间连续性与切换”记录典型和压力缺陷，优先修复影响游玩及画面可信度的问题。</t>
  </si>
  <si>
    <t>K1</t>
  </si>
  <si>
    <t>曝光与亮暗过渡</t>
  </si>
  <si>
    <t>进出明暗区域时无明显白屏黑屏</t>
  </si>
  <si>
    <t>曝光过渡自然且不丢关键敌人与路径</t>
  </si>
  <si>
    <t>复杂亮暗混合区域仍有稳定可控的层次</t>
  </si>
  <si>
    <t>曝光范围/速度；室内外连续录像</t>
  </si>
  <si>
    <t>针对“曝光与亮暗过渡”记录典型和压力缺陷，优先修复影响游玩及画面可信度的问题。</t>
  </si>
  <si>
    <t>K2</t>
  </si>
  <si>
    <t>色调与高光</t>
  </si>
  <si>
    <t>颜色无无意偏色，高光和暗部有必要信息</t>
  </si>
  <si>
    <t>金属高光、肤色或漆面层次自然</t>
  </si>
  <si>
    <t>高对比场景色调细腻且风格统一</t>
  </si>
  <si>
    <t>Tonemapper/LUT；高光/暗部对照</t>
  </si>
  <si>
    <t>针对“色调与高光”记录典型和压力缺陷，优先修复影响游玩及画面可信度的问题。</t>
  </si>
  <si>
    <t>K3</t>
  </si>
  <si>
    <t>景深与运动模糊</t>
  </si>
  <si>
    <t>不明显遮挡战斗信息或产生错误轮廓</t>
  </si>
  <si>
    <t>不同玩法镜头处理恰当，透明物体无显眼瑕疵</t>
  </si>
  <si>
    <t>运镜质感与动作清晰度兼顾</t>
  </si>
  <si>
    <t>后期参数；开关对比；战斗及过场</t>
  </si>
  <si>
    <t>针对“景深与运动模糊”记录典型和压力缺陷，优先修复影响游玩及画面可信度的问题。</t>
  </si>
  <si>
    <t>K4</t>
  </si>
  <si>
    <t>后期区域与镜头衔接</t>
  </si>
  <si>
    <t>盒子边界不发生突兀颜色曝光变化</t>
  </si>
  <si>
    <t>体积混合、优先级和相机覆盖行为稳定</t>
  </si>
  <si>
    <t>复杂关卡过渡和过场切换始终自然</t>
  </si>
  <si>
    <t>PostProcessVolume优先级/混合权重；相机后期</t>
  </si>
  <si>
    <t>针对“后期区域与镜头衔接”记录典型和压力缺陷，优先修复影响游玩及画面可信度的问题。</t>
  </si>
  <si>
    <t>K5</t>
  </si>
  <si>
    <t>显示适配与校准</t>
  </si>
  <si>
    <t>支持的SDR/HDR模式黑白位合理</t>
  </si>
  <si>
    <t>不同目标显示条件下关键信息保持可读</t>
  </si>
  <si>
    <t>广泛目标显示条件下亮度色彩保持设计意图</t>
  </si>
  <si>
    <t>支持模式；校准流程；显示设备和输出格式</t>
  </si>
  <si>
    <t>针对“显示适配与校准”记录典型和压力缺陷，优先修复影响游玩及画面可信度的问题。</t>
  </si>
  <si>
    <t>L1</t>
  </si>
  <si>
    <t>普通区域品质底线</t>
  </si>
  <si>
    <t>主线普通路线不存在大面积未完成感</t>
  </si>
  <si>
    <t>次要路线与重复访问区域完成度稳定</t>
  </si>
  <si>
    <t>全流程少有明显低于高品质线的区域</t>
  </si>
  <si>
    <t>按时长加权章节抽样；低分镜头清单</t>
  </si>
  <si>
    <t>针对“普通区域品质底线”记录典型和压力缺陷，优先修复影响游玩及画面可信度的问题。</t>
  </si>
  <si>
    <t>L2</t>
  </si>
  <si>
    <t>压力场景视觉底线</t>
  </si>
  <si>
    <t>设计最大敌人/特效数下无严重视觉失效</t>
  </si>
  <si>
    <t>高潮、Boss和复杂场景保持整体品质</t>
  </si>
  <si>
    <t>极端但可达的玩法组合仍保持高完成度</t>
  </si>
  <si>
    <t>设计最大负载与实际记录；压力录像</t>
  </si>
  <si>
    <t>针对“压力场景视觉底线”记录典型和压力缺陷，优先修复影响游玩及画面可信度的问题。</t>
  </si>
  <si>
    <t>L3</t>
  </si>
  <si>
    <t>跨场景统一性</t>
  </si>
  <si>
    <t>章节间材质、光照和密度无失控落差</t>
  </si>
  <si>
    <t>不同团队内容遵守同一验收尺度</t>
  </si>
  <si>
    <t>变化有意图且完成度始终一致</t>
  </si>
  <si>
    <t>多章节同口径对照；外包批次审查</t>
  </si>
  <si>
    <t>针对“跨场景统一性”记录典型和压力缺陷，优先修复影响游玩及画面可信度的问题。</t>
  </si>
  <si>
    <t>L4</t>
  </si>
  <si>
    <t>长时运行品质</t>
  </si>
  <si>
    <t>长流程后无持续贴图模糊和内容缺失</t>
  </si>
  <si>
    <t>反复死亡、切关、回访后品质稳定</t>
  </si>
  <si>
    <t>长时与重复切换后仍维持首次稳定状态</t>
  </si>
  <si>
    <t>至少一轮长时跑测；内存/流送与画面记录</t>
  </si>
  <si>
    <t>针对“长时运行品质”记录典型和压力缺陷，优先修复影响游玩及画面可信度的问题。</t>
  </si>
  <si>
    <t>L5</t>
  </si>
  <si>
    <t>模式与版本一致性</t>
  </si>
  <si>
    <t>提交评审的版本、模式可复现</t>
  </si>
  <si>
    <t>宣传关键镜头与承诺模式差异透明且可解释</t>
  </si>
  <si>
    <t>常态游玩也能持续兑现宣传的核心视觉特征</t>
  </si>
  <si>
    <t>版本号；平台模式矩阵；宣传/实机配对</t>
  </si>
  <si>
    <t>针对“模式与版本一致性”记录典型和压力缺陷，优先修复影响游玩及画面可信度的问题。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</si>
</sst>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"/>
  </numFmts>
  <fonts count="7">
    <font>
      <sz val="11.0"/>
      <color rgb="FF000000"/>
      <name val="Carlito"/>
      <scheme val="minor"/>
    </font>
    <font>
      <sz val="11.0"/>
      <color rgb="FF213047"/>
      <name val="Arial"/>
    </font>
    <font>
      <b/>
      <sz val="16.0"/>
      <color rgb="FF24364D"/>
      <name val="Arial"/>
    </font>
    <font>
      <sz val="11.0"/>
      <color rgb="FF9B5E00"/>
      <name val="Arial"/>
    </font>
    <font>
      <i/>
      <sz val="11.0"/>
      <color rgb="FF657387"/>
      <name val="Arial"/>
    </font>
    <font>
      <b/>
      <sz val="11.0"/>
      <color rgb="FFFFFFFF"/>
      <name val="Arial"/>
    </font>
    <font>
      <b/>
      <sz val="11.0"/>
      <color rgb="FF24364D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B"/>
        <bgColor rgb="FFFFF2CB"/>
      </patternFill>
    </fill>
    <fill>
      <patternFill patternType="solid">
        <fgColor rgb="FF24364D"/>
        <bgColor rgb="FF24364D"/>
      </patternFill>
    </fill>
    <fill>
      <patternFill patternType="solid">
        <fgColor rgb="FFFFFFFF"/>
        <bgColor rgb="FFFFFFFF"/>
      </patternFill>
    </fill>
    <fill>
      <patternFill patternType="solid">
        <fgColor rgb="FFF1F4F7"/>
        <bgColor rgb="FFF1F4F7"/>
      </patternFill>
    </fill>
  </fills>
  <borders count="4">
    <border/>
    <border>
      <bottom style="thin">
        <color rgb="FFC4CDD7"/>
      </bottom>
    </border>
    <border>
      <left/>
      <right/>
      <top/>
      <bottom/>
    </border>
    <border>
      <top style="thin">
        <color rgb="FFC4CDD7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2" fillId="2" fontId="3" numFmtId="0" xfId="0" applyAlignment="1" applyBorder="1" applyFill="1" applyFont="1">
      <alignment vertical="center"/>
    </xf>
    <xf borderId="2" fillId="2" fontId="3" numFmtId="164" xfId="0" applyAlignment="1" applyBorder="1" applyFill="1" applyFont="1" applyNumberFormat="1">
      <alignment vertical="center"/>
    </xf>
    <xf borderId="0" fillId="0" fontId="2" numFmtId="2" xfId="0" applyAlignment="1" applyFont="1" applyNumberFormat="1">
      <alignment vertical="center"/>
    </xf>
    <xf borderId="0" fillId="0" fontId="4" numFmtId="0" xfId="0" applyAlignment="1" applyFont="1">
      <alignment vertical="center"/>
    </xf>
    <xf borderId="2" fillId="3" fontId="5" numFmtId="0" xfId="0" applyAlignment="1" applyBorder="1" applyFill="1" applyFont="1">
      <alignment horizontal="center" readingOrder="0" shrinkToFit="0" vertical="center" wrapText="1"/>
    </xf>
    <xf borderId="0" fillId="0" fontId="1" numFmtId="165" xfId="0" applyAlignment="1" applyFont="1" applyNumberFormat="1">
      <alignment vertical="center"/>
    </xf>
    <xf borderId="2" fillId="4" fontId="1" numFmtId="0" xfId="0" applyAlignment="1" applyBorder="1" applyFill="1" applyFont="1">
      <alignment shrinkToFit="0" vertical="center" wrapText="1"/>
    </xf>
    <xf borderId="0" fillId="0" fontId="1" numFmtId="9" xfId="0" applyAlignment="1" applyFont="1" applyNumberFormat="1">
      <alignment vertical="center"/>
    </xf>
    <xf borderId="2" fillId="2" fontId="3" numFmtId="0" xfId="0" applyAlignment="1" applyBorder="1" applyFill="1" applyFont="1">
      <alignment shrinkToFit="0" vertical="center" wrapText="1"/>
    </xf>
    <xf borderId="2" fillId="4" fontId="1" numFmtId="165" xfId="0" applyAlignment="1" applyBorder="1" applyFill="1" applyFont="1" applyNumberFormat="1">
      <alignment horizontal="right" shrinkToFit="0" vertical="center" wrapText="1"/>
    </xf>
    <xf borderId="2" fillId="3" fontId="5" numFmtId="0" xfId="0" applyAlignment="1" applyBorder="1" applyFill="1" applyFont="1">
      <alignment horizontal="center" shrinkToFit="0" vertical="center" wrapText="1"/>
    </xf>
    <xf borderId="2" fillId="4" fontId="1" numFmtId="0" xfId="0" applyAlignment="1" applyBorder="1" applyFill="1" applyFont="1">
      <alignment vertical="center"/>
    </xf>
    <xf borderId="2" fillId="4" fontId="1" numFmtId="165" xfId="0" applyAlignment="1" applyBorder="1" applyFill="1" applyFont="1" applyNumberFormat="1">
      <alignment horizontal="right" vertical="center"/>
    </xf>
    <xf borderId="2" fillId="4" fontId="1" numFmtId="2" xfId="0" applyAlignment="1" applyBorder="1" applyFill="1" applyFont="1" applyNumberFormat="1">
      <alignment horizontal="right" shrinkToFit="0" vertical="center" wrapText="1"/>
    </xf>
    <xf borderId="2" fillId="5" fontId="1" numFmtId="0" xfId="0" applyAlignment="1" applyBorder="1" applyFill="1" applyFont="1">
      <alignment shrinkToFit="0" vertical="center" wrapText="1"/>
    </xf>
    <xf borderId="2" fillId="4" fontId="1" numFmtId="1" xfId="0" applyAlignment="1" applyBorder="1" applyFill="1" applyFont="1" applyNumberFormat="1">
      <alignment horizontal="right" vertical="center"/>
    </xf>
    <xf borderId="2" fillId="2" fontId="3" numFmtId="2" xfId="0" applyAlignment="1" applyBorder="1" applyFill="1" applyFont="1" applyNumberFormat="1">
      <alignment horizontal="right" shrinkToFit="0" vertical="center" wrapText="1"/>
    </xf>
    <xf borderId="2" fillId="5" fontId="1" numFmtId="165" xfId="0" applyAlignment="1" applyBorder="1" applyFill="1" applyFont="1" applyNumberFormat="1">
      <alignment horizontal="right" shrinkToFit="0" vertical="center" wrapText="1"/>
    </xf>
    <xf borderId="2" fillId="5" fontId="1" numFmtId="0" xfId="0" applyAlignment="1" applyBorder="1" applyFill="1" applyFont="1">
      <alignment vertical="center"/>
    </xf>
    <xf borderId="2" fillId="2" fontId="3" numFmtId="165" xfId="0" applyAlignment="1" applyBorder="1" applyFill="1" applyFont="1" applyNumberFormat="1">
      <alignment horizontal="right" shrinkToFit="0" vertical="center" wrapText="1"/>
    </xf>
    <xf borderId="2" fillId="5" fontId="1" numFmtId="165" xfId="0" applyAlignment="1" applyBorder="1" applyFill="1" applyFont="1" applyNumberFormat="1">
      <alignment horizontal="right" vertical="center"/>
    </xf>
    <xf borderId="2" fillId="5" fontId="1" numFmtId="1" xfId="0" applyAlignment="1" applyBorder="1" applyFill="1" applyFont="1" applyNumberFormat="1">
      <alignment horizontal="right" vertical="center"/>
    </xf>
    <xf borderId="2" fillId="5" fontId="1" numFmtId="2" xfId="0" applyAlignment="1" applyBorder="1" applyFill="1" applyFont="1" applyNumberFormat="1">
      <alignment horizontal="right" shrinkToFit="0" vertical="center" wrapText="1"/>
    </xf>
    <xf borderId="3" fillId="0" fontId="6" numFmtId="0" xfId="0" applyAlignment="1" applyBorder="1" applyFont="1">
      <alignment vertical="center"/>
    </xf>
    <xf borderId="3" fillId="0" fontId="6" numFmtId="165" xfId="0" applyAlignment="1" applyBorder="1" applyFont="1" applyNumberFormat="1">
      <alignment vertical="center"/>
    </xf>
    <xf borderId="0" fillId="0" fontId="1" numFmtId="2" xfId="0" applyAlignment="1" applyFont="1" applyNumberForma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color rgb="FFA13222"/>
      </font>
      <fill>
        <patternFill patternType="solid">
          <fgColor rgb="FFFBE5DE"/>
          <bgColor rgb="FFFBE5DE"/>
        </patternFill>
      </fill>
      <border/>
    </dxf>
  </dxfs>
  <tableStyles count="3">
    <tableStyle count="4" pivot="0" name="60项标准-style">
      <tableStyleElement dxfId="1" type="headerRow"/>
      <tableStyleElement dxfId="2" type="firstRowStripe"/>
      <tableStyleElement dxfId="1" type="secondRowStripe"/>
      <tableStyleElement dxfId="3" size="0" type="wholeTable"/>
    </tableStyle>
    <tableStyle count="4" pivot="0" name="补数清单-style">
      <tableStyleElement dxfId="1" type="headerRow"/>
      <tableStyleElement dxfId="2" type="firstRowStripe"/>
      <tableStyleElement dxfId="1" type="secondRowStripe"/>
      <tableStyleElement dxfId="3" size="0" type="wholeTable"/>
    </tableStyle>
    <tableStyle count="4" pivot="0" name="评分录入-style">
      <tableStyleElement dxfId="1" type="headerRow"/>
      <tableStyleElement dxfId="2" type="firstRowStripe"/>
      <tableStyleElement dxfId="1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R65" displayName="Ratings" name="Ratings" id="1">
  <tableColumns count="18">
    <tableColumn name="编号" id="1"/>
    <tableColumn name="维度" id="2"/>
    <tableColumn name="指标" id="3"/>
    <tableColumn name="满分贡献" id="4"/>
    <tableColumn name="典型评分" id="5"/>
    <tableColumn name="压力评分" id="6"/>
    <tableColumn name="合成分 / 5" id="7"/>
    <tableColumn name="得分贡献" id="8"/>
    <tableColumn name="双场景核验" id="9"/>
    <tableColumn name="典型场景证据" id="10"/>
    <tableColumn name="压力场景证据" id="11"/>
    <tableColumn name="Build / 机位" id="12"/>
    <tableColumn name="缺陷与修复动作" id="13"/>
    <tableColumn name="负责人" id="14"/>
    <tableColumn name="目标分 / 5" id="15"/>
    <tableColumn name="评分完整" id="16"/>
    <tableColumn name="证据完整" id="17"/>
    <tableColumn name="目标增分" id="18"/>
  </tableColumns>
  <tableStyleInfo name="评分录入-style" showColumnStripes="0" showFirstColumn="1" showLastColumn="1" showRowStripes="1"/>
</table>
</file>

<file path=xl/tables/table2.xml><?xml version="1.0" encoding="utf-8"?>
<table xmlns="http://schemas.openxmlformats.org/spreadsheetml/2006/main" ref="A5:J65" displayName="Standards" name="Standards" id="3">
  <tableColumns count="10">
    <tableColumn name="编号" id="1"/>
    <tableColumn name="维度" id="2"/>
    <tableColumn name="指标" id="3"/>
    <tableColumn name="满分贡献" id="4"/>
    <tableColumn name="3分：基本合格" id="5"/>
    <tableColumn name="4分：高品质" id="6"/>
    <tableColumn name="5分：旗舰表现" id="7"/>
    <tableColumn name="应提交的证据" id="8"/>
    <tableColumn name="优先改进方向" id="9"/>
    <tableColumn name="参考来源" id="10"/>
  </tableColumns>
  <tableStyleInfo name="60项标准-style" showColumnStripes="0" showFirstColumn="1" showLastColumn="1" showRowStripes="1"/>
</table>
</file>

<file path=xl/tables/table3.xml><?xml version="1.0" encoding="utf-8"?>
<table xmlns="http://schemas.openxmlformats.org/spreadsheetml/2006/main" ref="A5:K65" displayName="EvidenceRequests" name="EvidenceRequests" id="2">
  <tableColumns count="11">
    <tableColumn name="编号" id="1"/>
    <tableColumn name="维度" id="2"/>
    <tableColumn name="指标" id="3"/>
    <tableColumn name="需提交的数据 / 证据" id="4"/>
    <tableColumn name="已知事实" id="5"/>
    <tableColumn name="待确认问题" id="6"/>
    <tableColumn name="负责人" id="7"/>
    <tableColumn name="最新测量结果" id="8"/>
    <tableColumn name="证据链接" id="9"/>
    <tableColumn name="Build / 测量日期" id="10"/>
    <tableColumn name="收集状态" id="11"/>
  </tableColumns>
  <tableStyleInfo name="补数清单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364D"/>
    <pageSetUpPr/>
  </sheetPr>
  <sheetViews>
    <sheetView showGridLines="0" workbookViewId="0"/>
  </sheetViews>
  <sheetFormatPr customHeight="1" defaultColWidth="12.63" defaultRowHeight="15.0"/>
  <cols>
    <col customWidth="1" min="1" max="1" width="10.25"/>
    <col customWidth="1" min="2" max="2" width="29.38"/>
    <col customWidth="1" min="3" max="3" width="11.25"/>
    <col customWidth="1" min="4" max="4" width="13.0"/>
    <col customWidth="1" min="5" max="5" width="13.5"/>
    <col customWidth="1" min="6" max="6" width="13.13"/>
    <col customWidth="1" min="7" max="7" width="15.0"/>
    <col customWidth="1" min="8" max="8" width="25.0"/>
    <col customWidth="1" min="9" max="26" width="8.63"/>
  </cols>
  <sheetData>
    <row r="1" ht="27.75" customHeight="1">
      <c r="A1" s="1"/>
      <c r="B1" s="1"/>
      <c r="C1" s="1"/>
      <c r="D1" s="1"/>
      <c r="E1" s="1"/>
      <c r="F1" s="1"/>
      <c r="G1" s="1"/>
      <c r="H1" s="1"/>
    </row>
    <row r="2" ht="33.75" customHeight="1">
      <c r="A2" s="2" t="s">
        <v>0</v>
      </c>
      <c r="B2" s="1"/>
      <c r="C2" s="1"/>
      <c r="D2" s="1"/>
      <c r="E2" s="1"/>
      <c r="F2" s="1"/>
      <c r="G2" s="1"/>
      <c r="H2" s="1"/>
    </row>
    <row r="3" ht="9.0" customHeight="1">
      <c r="A3" s="3"/>
      <c r="B3" s="3"/>
      <c r="C3" s="3"/>
      <c r="D3" s="3"/>
      <c r="E3" s="3"/>
      <c r="F3" s="3"/>
      <c r="G3" s="3"/>
      <c r="H3" s="3"/>
    </row>
    <row r="4" ht="30.75" customHeight="1">
      <c r="A4" s="1" t="s">
        <v>1</v>
      </c>
      <c r="B4" s="4" t="s">
        <v>2</v>
      </c>
      <c r="C4" s="4"/>
      <c r="D4" s="4"/>
      <c r="E4" s="1" t="s">
        <v>3</v>
      </c>
      <c r="F4" s="4"/>
      <c r="G4" s="4"/>
      <c r="H4" s="4"/>
    </row>
    <row r="5" ht="30.75" customHeight="1">
      <c r="A5" s="1" t="s">
        <v>4</v>
      </c>
      <c r="B5" s="5"/>
      <c r="C5" s="4"/>
      <c r="D5" s="4"/>
      <c r="E5" s="1" t="s">
        <v>5</v>
      </c>
      <c r="F5" s="4"/>
      <c r="G5" s="4"/>
      <c r="H5" s="4"/>
    </row>
    <row r="6" ht="30.75" customHeight="1">
      <c r="A6" s="1" t="s">
        <v>6</v>
      </c>
      <c r="B6" s="4">
        <v>60.0</v>
      </c>
      <c r="C6" s="1"/>
      <c r="D6" s="1"/>
      <c r="E6" s="1" t="s">
        <v>7</v>
      </c>
      <c r="F6" s="4"/>
      <c r="G6" s="4"/>
      <c r="H6" s="4"/>
    </row>
    <row r="7" ht="27.75" customHeight="1">
      <c r="A7" s="1"/>
      <c r="B7" s="1"/>
      <c r="C7" s="1"/>
      <c r="D7" s="1"/>
      <c r="E7" s="1"/>
      <c r="F7" s="1"/>
      <c r="G7" s="1"/>
      <c r="H7" s="1"/>
    </row>
    <row r="8" ht="27.75" customHeight="1">
      <c r="A8" s="1" t="s">
        <v>8</v>
      </c>
      <c r="B8" s="6" t="str">
        <f>IF(AND(B10=60,F10=60),ROUND(SUM('评分录入'!H6:H65),6),"")</f>
        <v/>
      </c>
      <c r="C8" s="1"/>
      <c r="D8" s="1"/>
      <c r="E8" s="1" t="s">
        <v>12</v>
      </c>
      <c r="F8" s="1" t="str">
        <f>IF(ISNUMBER(B8),LOOKUP(B8,'使用说明'!$A$23:$A$27,'使用说明'!$B$23:$B$27),"")</f>
        <v/>
      </c>
      <c r="G8" s="1"/>
      <c r="H8" s="1"/>
    </row>
    <row r="9" ht="27.75" customHeight="1">
      <c r="A9" s="1" t="s">
        <v>17</v>
      </c>
      <c r="B9" s="1" t="str">
        <f>IF(B10&lt;60,"待补评分",IF(F10&lt;60,"待补证据","评分与证据齐全"))</f>
        <v>待补评分</v>
      </c>
      <c r="C9" s="1"/>
      <c r="D9" s="1"/>
      <c r="E9" s="1" t="s">
        <v>19</v>
      </c>
      <c r="F9" s="4" t="s">
        <v>26</v>
      </c>
      <c r="G9" s="4"/>
      <c r="H9" s="4"/>
    </row>
    <row r="10" ht="27.75" customHeight="1">
      <c r="A10" s="1" t="s">
        <v>29</v>
      </c>
      <c r="B10" s="9">
        <f>SUM('评分录入'!P6:P65)</f>
        <v>0</v>
      </c>
      <c r="C10" s="1"/>
      <c r="D10" s="1"/>
      <c r="E10" s="1" t="s">
        <v>40</v>
      </c>
      <c r="F10" s="9">
        <f>SUM('评分录入'!Q6:Q65)</f>
        <v>0</v>
      </c>
      <c r="G10" s="1"/>
      <c r="H10" s="1"/>
    </row>
    <row r="11" ht="27.75" customHeight="1">
      <c r="A11" s="1" t="s">
        <v>48</v>
      </c>
      <c r="B11" s="11">
        <f>SUMPRODUCT('评分录入'!D6:D65,'评分录入'!P6:P65)/100</f>
        <v>0</v>
      </c>
      <c r="C11" s="1"/>
      <c r="D11" s="1"/>
      <c r="E11" s="1" t="s">
        <v>56</v>
      </c>
      <c r="F11" s="11">
        <f>SUMPRODUCT('评分录入'!D6:D65,'评分录入'!Q6:Q65)/100</f>
        <v>0</v>
      </c>
      <c r="G11" s="1"/>
      <c r="H11" s="1"/>
    </row>
    <row r="12" ht="27.75" customHeight="1">
      <c r="A12" s="1"/>
      <c r="B12" s="1"/>
      <c r="C12" s="1"/>
      <c r="D12" s="1"/>
      <c r="E12" s="1"/>
      <c r="F12" s="1"/>
      <c r="G12" s="1"/>
      <c r="H12" s="1"/>
    </row>
    <row r="13" ht="37.5" customHeight="1">
      <c r="A13" s="14" t="s">
        <v>18</v>
      </c>
      <c r="B13" s="14" t="s">
        <v>59</v>
      </c>
      <c r="C13" s="14" t="s">
        <v>60</v>
      </c>
      <c r="D13" s="14" t="s">
        <v>29</v>
      </c>
      <c r="E13" s="14" t="s">
        <v>40</v>
      </c>
      <c r="F13" s="14" t="s">
        <v>61</v>
      </c>
      <c r="G13" s="14" t="s">
        <v>62</v>
      </c>
      <c r="H13" s="14" t="s">
        <v>63</v>
      </c>
    </row>
    <row r="14" ht="33.75" customHeight="1">
      <c r="A14" s="15" t="s">
        <v>65</v>
      </c>
      <c r="B14" s="15" t="s">
        <v>52</v>
      </c>
      <c r="C14" s="16">
        <v>6.0</v>
      </c>
      <c r="D14" s="19">
        <f>SUMIFS('评分录入'!$P$6:$P$65,'评分录入'!$B$6:$B$65,B14)</f>
        <v>0</v>
      </c>
      <c r="E14" s="19">
        <f>SUMIFS('评分录入'!$Q$6:$Q$65,'评分录入'!$B$6:$B$65,B14)</f>
        <v>0</v>
      </c>
      <c r="F14" s="16" t="str">
        <f>IF(D14=5,ROUND(SUMIFS('评分录入'!$H$6:$H$65,'评分录入'!$B$6:$B$65,B14)/C14*5,6),"")</f>
        <v/>
      </c>
      <c r="G14" s="16" t="str">
        <f>IF(D14=5,SUMIFS('评分录入'!$H$6:$H$65,'评分录入'!$B$6:$B$65,B14),"")</f>
        <v/>
      </c>
      <c r="H14" s="16" t="str">
        <f t="shared" ref="H14:H25" si="1">IF(ISNUMBER(F14),MAX(0,(4-F14)/5*C14),"")</f>
        <v/>
      </c>
    </row>
    <row r="15" ht="33.75" customHeight="1">
      <c r="A15" s="22" t="s">
        <v>85</v>
      </c>
      <c r="B15" s="22" t="s">
        <v>86</v>
      </c>
      <c r="C15" s="24">
        <v>12.0</v>
      </c>
      <c r="D15" s="25">
        <f>SUMIFS('评分录入'!$P$6:$P$65,'评分录入'!$B$6:$B$65,B15)</f>
        <v>0</v>
      </c>
      <c r="E15" s="25">
        <f>SUMIFS('评分录入'!$Q$6:$Q$65,'评分录入'!$B$6:$B$65,B15)</f>
        <v>0</v>
      </c>
      <c r="F15" s="24" t="str">
        <f>IF(D15=5,ROUND(SUMIFS('评分录入'!$H$6:$H$65,'评分录入'!$B$6:$B$65,B15)/C15*5,6),"")</f>
        <v/>
      </c>
      <c r="G15" s="24" t="str">
        <f>IF(D15=5,SUMIFS('评分录入'!$H$6:$H$65,'评分录入'!$B$6:$B$65,B15),"")</f>
        <v/>
      </c>
      <c r="H15" s="24" t="str">
        <f t="shared" si="1"/>
        <v/>
      </c>
    </row>
    <row r="16" ht="33.75" customHeight="1">
      <c r="A16" s="15" t="s">
        <v>98</v>
      </c>
      <c r="B16" s="15" t="s">
        <v>99</v>
      </c>
      <c r="C16" s="16">
        <v>10.0</v>
      </c>
      <c r="D16" s="19">
        <f>SUMIFS('评分录入'!$P$6:$P$65,'评分录入'!$B$6:$B$65,B16)</f>
        <v>0</v>
      </c>
      <c r="E16" s="19">
        <f>SUMIFS('评分录入'!$Q$6:$Q$65,'评分录入'!$B$6:$B$65,B16)</f>
        <v>0</v>
      </c>
      <c r="F16" s="16" t="str">
        <f>IF(D16=5,ROUND(SUMIFS('评分录入'!$H$6:$H$65,'评分录入'!$B$6:$B$65,B16)/C16*5,6),"")</f>
        <v/>
      </c>
      <c r="G16" s="16" t="str">
        <f>IF(D16=5,SUMIFS('评分录入'!$H$6:$H$65,'评分录入'!$B$6:$B$65,B16),"")</f>
        <v/>
      </c>
      <c r="H16" s="16" t="str">
        <f t="shared" si="1"/>
        <v/>
      </c>
    </row>
    <row r="17" ht="33.75" customHeight="1">
      <c r="A17" s="22" t="s">
        <v>110</v>
      </c>
      <c r="B17" s="22" t="s">
        <v>111</v>
      </c>
      <c r="C17" s="24">
        <v>14.0</v>
      </c>
      <c r="D17" s="25">
        <f>SUMIFS('评分录入'!$P$6:$P$65,'评分录入'!$B$6:$B$65,B17)</f>
        <v>0</v>
      </c>
      <c r="E17" s="25">
        <f>SUMIFS('评分录入'!$Q$6:$Q$65,'评分录入'!$B$6:$B$65,B17)</f>
        <v>0</v>
      </c>
      <c r="F17" s="24" t="str">
        <f>IF(D17=5,ROUND(SUMIFS('评分录入'!$H$6:$H$65,'评分录入'!$B$6:$B$65,B17)/C17*5,6),"")</f>
        <v/>
      </c>
      <c r="G17" s="24" t="str">
        <f>IF(D17=5,SUMIFS('评分录入'!$H$6:$H$65,'评分录入'!$B$6:$B$65,B17),"")</f>
        <v/>
      </c>
      <c r="H17" s="24" t="str">
        <f t="shared" si="1"/>
        <v/>
      </c>
    </row>
    <row r="18" ht="33.75" customHeight="1">
      <c r="A18" s="15" t="s">
        <v>119</v>
      </c>
      <c r="B18" s="15" t="s">
        <v>120</v>
      </c>
      <c r="C18" s="16">
        <v>8.0</v>
      </c>
      <c r="D18" s="19">
        <f>SUMIFS('评分录入'!$P$6:$P$65,'评分录入'!$B$6:$B$65,B18)</f>
        <v>0</v>
      </c>
      <c r="E18" s="19">
        <f>SUMIFS('评分录入'!$Q$6:$Q$65,'评分录入'!$B$6:$B$65,B18)</f>
        <v>0</v>
      </c>
      <c r="F18" s="16" t="str">
        <f>IF(D18=5,ROUND(SUMIFS('评分录入'!$H$6:$H$65,'评分录入'!$B$6:$B$65,B18)/C18*5,6),"")</f>
        <v/>
      </c>
      <c r="G18" s="16" t="str">
        <f>IF(D18=5,SUMIFS('评分录入'!$H$6:$H$65,'评分录入'!$B$6:$B$65,B18),"")</f>
        <v/>
      </c>
      <c r="H18" s="16" t="str">
        <f t="shared" si="1"/>
        <v/>
      </c>
    </row>
    <row r="19" ht="33.75" customHeight="1">
      <c r="A19" s="22" t="s">
        <v>129</v>
      </c>
      <c r="B19" s="22" t="s">
        <v>130</v>
      </c>
      <c r="C19" s="24">
        <v>6.0</v>
      </c>
      <c r="D19" s="25">
        <f>SUMIFS('评分录入'!$P$6:$P$65,'评分录入'!$B$6:$B$65,B19)</f>
        <v>0</v>
      </c>
      <c r="E19" s="25">
        <f>SUMIFS('评分录入'!$Q$6:$Q$65,'评分录入'!$B$6:$B$65,B19)</f>
        <v>0</v>
      </c>
      <c r="F19" s="24" t="str">
        <f>IF(D19=5,ROUND(SUMIFS('评分录入'!$H$6:$H$65,'评分录入'!$B$6:$B$65,B19)/C19*5,6),"")</f>
        <v/>
      </c>
      <c r="G19" s="24" t="str">
        <f>IF(D19=5,SUMIFS('评分录入'!$H$6:$H$65,'评分录入'!$B$6:$B$65,B19),"")</f>
        <v/>
      </c>
      <c r="H19" s="24" t="str">
        <f t="shared" si="1"/>
        <v/>
      </c>
    </row>
    <row r="20" ht="33.75" customHeight="1">
      <c r="A20" s="15" t="s">
        <v>143</v>
      </c>
      <c r="B20" s="15" t="s">
        <v>144</v>
      </c>
      <c r="C20" s="16">
        <v>5.0</v>
      </c>
      <c r="D20" s="19">
        <f>SUMIFS('评分录入'!$P$6:$P$65,'评分录入'!$B$6:$B$65,B20)</f>
        <v>0</v>
      </c>
      <c r="E20" s="19">
        <f>SUMIFS('评分录入'!$Q$6:$Q$65,'评分录入'!$B$6:$B$65,B20)</f>
        <v>0</v>
      </c>
      <c r="F20" s="16" t="str">
        <f>IF(D20=5,ROUND(SUMIFS('评分录入'!$H$6:$H$65,'评分录入'!$B$6:$B$65,B20)/C20*5,6),"")</f>
        <v/>
      </c>
      <c r="G20" s="16" t="str">
        <f>IF(D20=5,SUMIFS('评分录入'!$H$6:$H$65,'评分录入'!$B$6:$B$65,B20),"")</f>
        <v/>
      </c>
      <c r="H20" s="16" t="str">
        <f t="shared" si="1"/>
        <v/>
      </c>
    </row>
    <row r="21" ht="33.75" customHeight="1">
      <c r="A21" s="22" t="s">
        <v>153</v>
      </c>
      <c r="B21" s="22" t="s">
        <v>154</v>
      </c>
      <c r="C21" s="24">
        <v>10.0</v>
      </c>
      <c r="D21" s="25">
        <f>SUMIFS('评分录入'!$P$6:$P$65,'评分录入'!$B$6:$B$65,B21)</f>
        <v>0</v>
      </c>
      <c r="E21" s="25">
        <f>SUMIFS('评分录入'!$Q$6:$Q$65,'评分录入'!$B$6:$B$65,B21)</f>
        <v>0</v>
      </c>
      <c r="F21" s="24" t="str">
        <f>IF(D21=5,ROUND(SUMIFS('评分录入'!$H$6:$H$65,'评分录入'!$B$6:$B$65,B21)/C21*5,6),"")</f>
        <v/>
      </c>
      <c r="G21" s="24" t="str">
        <f>IF(D21=5,SUMIFS('评分录入'!$H$6:$H$65,'评分录入'!$B$6:$B$65,B21),"")</f>
        <v/>
      </c>
      <c r="H21" s="24" t="str">
        <f t="shared" si="1"/>
        <v/>
      </c>
    </row>
    <row r="22" ht="33.75" customHeight="1">
      <c r="A22" s="15" t="s">
        <v>162</v>
      </c>
      <c r="B22" s="15" t="s">
        <v>163</v>
      </c>
      <c r="C22" s="16">
        <v>8.0</v>
      </c>
      <c r="D22" s="19">
        <f>SUMIFS('评分录入'!$P$6:$P$65,'评分录入'!$B$6:$B$65,B22)</f>
        <v>0</v>
      </c>
      <c r="E22" s="19">
        <f>SUMIFS('评分录入'!$Q$6:$Q$65,'评分录入'!$B$6:$B$65,B22)</f>
        <v>0</v>
      </c>
      <c r="F22" s="16" t="str">
        <f>IF(D22=5,ROUND(SUMIFS('评分录入'!$H$6:$H$65,'评分录入'!$B$6:$B$65,B22)/C22*5,6),"")</f>
        <v/>
      </c>
      <c r="G22" s="16" t="str">
        <f>IF(D22=5,SUMIFS('评分录入'!$H$6:$H$65,'评分录入'!$B$6:$B$65,B22),"")</f>
        <v/>
      </c>
      <c r="H22" s="16" t="str">
        <f t="shared" si="1"/>
        <v/>
      </c>
    </row>
    <row r="23" ht="33.75" customHeight="1">
      <c r="A23" s="22" t="s">
        <v>172</v>
      </c>
      <c r="B23" s="22" t="s">
        <v>173</v>
      </c>
      <c r="C23" s="24">
        <v>10.0</v>
      </c>
      <c r="D23" s="25">
        <f>SUMIFS('评分录入'!$P$6:$P$65,'评分录入'!$B$6:$B$65,B23)</f>
        <v>0</v>
      </c>
      <c r="E23" s="25">
        <f>SUMIFS('评分录入'!$Q$6:$Q$65,'评分录入'!$B$6:$B$65,B23)</f>
        <v>0</v>
      </c>
      <c r="F23" s="24" t="str">
        <f>IF(D23=5,ROUND(SUMIFS('评分录入'!$H$6:$H$65,'评分录入'!$B$6:$B$65,B23)/C23*5,6),"")</f>
        <v/>
      </c>
      <c r="G23" s="24" t="str">
        <f>IF(D23=5,SUMIFS('评分录入'!$H$6:$H$65,'评分录入'!$B$6:$B$65,B23),"")</f>
        <v/>
      </c>
      <c r="H23" s="24" t="str">
        <f t="shared" si="1"/>
        <v/>
      </c>
    </row>
    <row r="24" ht="33.75" customHeight="1">
      <c r="A24" s="15" t="s">
        <v>187</v>
      </c>
      <c r="B24" s="15" t="s">
        <v>188</v>
      </c>
      <c r="C24" s="16">
        <v>6.0</v>
      </c>
      <c r="D24" s="19">
        <f>SUMIFS('评分录入'!$P$6:$P$65,'评分录入'!$B$6:$B$65,B24)</f>
        <v>0</v>
      </c>
      <c r="E24" s="19">
        <f>SUMIFS('评分录入'!$Q$6:$Q$65,'评分录入'!$B$6:$B$65,B24)</f>
        <v>0</v>
      </c>
      <c r="F24" s="16" t="str">
        <f>IF(D24=5,ROUND(SUMIFS('评分录入'!$H$6:$H$65,'评分录入'!$B$6:$B$65,B24)/C24*5,6),"")</f>
        <v/>
      </c>
      <c r="G24" s="16" t="str">
        <f>IF(D24=5,SUMIFS('评分录入'!$H$6:$H$65,'评分录入'!$B$6:$B$65,B24),"")</f>
        <v/>
      </c>
      <c r="H24" s="16" t="str">
        <f t="shared" si="1"/>
        <v/>
      </c>
    </row>
    <row r="25" ht="33.75" customHeight="1">
      <c r="A25" s="22" t="s">
        <v>200</v>
      </c>
      <c r="B25" s="22" t="s">
        <v>201</v>
      </c>
      <c r="C25" s="24">
        <v>5.0</v>
      </c>
      <c r="D25" s="25">
        <f>SUMIFS('评分录入'!$P$6:$P$65,'评分录入'!$B$6:$B$65,B25)</f>
        <v>0</v>
      </c>
      <c r="E25" s="25">
        <f>SUMIFS('评分录入'!$Q$6:$Q$65,'评分录入'!$B$6:$B$65,B25)</f>
        <v>0</v>
      </c>
      <c r="F25" s="24" t="str">
        <f>IF(D25=5,ROUND(SUMIFS('评分录入'!$H$6:$H$65,'评分录入'!$B$6:$B$65,B25)/C25*5,6),"")</f>
        <v/>
      </c>
      <c r="G25" s="24" t="str">
        <f>IF(D25=5,SUMIFS('评分录入'!$H$6:$H$65,'评分录入'!$B$6:$B$65,B25),"")</f>
        <v/>
      </c>
      <c r="H25" s="24" t="str">
        <f t="shared" si="1"/>
        <v/>
      </c>
    </row>
    <row r="26" ht="33.75" customHeight="1">
      <c r="A26" s="27" t="s">
        <v>214</v>
      </c>
      <c r="B26" s="27"/>
      <c r="C26" s="27">
        <v>100.0</v>
      </c>
      <c r="D26" s="28">
        <f>B10</f>
        <v>0</v>
      </c>
      <c r="E26" s="28">
        <f>F10</f>
        <v>0</v>
      </c>
      <c r="F26" s="27"/>
      <c r="G26" s="27" t="str">
        <f>IF(ISNUMBER(B8),B8,"")</f>
        <v/>
      </c>
      <c r="H26" s="27"/>
    </row>
    <row r="27" ht="27.75" customHeight="1">
      <c r="A27" s="1"/>
      <c r="B27" s="1"/>
      <c r="C27" s="1"/>
      <c r="D27" s="1"/>
      <c r="E27" s="1"/>
      <c r="F27" s="1"/>
      <c r="G27" s="1"/>
      <c r="H27" s="1"/>
    </row>
    <row r="28" ht="27.75" customHeight="1">
      <c r="A28" s="1" t="s">
        <v>222</v>
      </c>
      <c r="B28" s="4" t="s">
        <v>223</v>
      </c>
      <c r="C28" s="1"/>
      <c r="D28" s="1"/>
      <c r="E28" s="1" t="s">
        <v>225</v>
      </c>
      <c r="F28" s="4" t="s">
        <v>26</v>
      </c>
      <c r="G28" s="4"/>
      <c r="H28" s="4"/>
    </row>
    <row r="29" ht="27.75" customHeight="1">
      <c r="A29" s="1" t="s">
        <v>227</v>
      </c>
      <c r="B29" s="1" t="str">
        <f>IF(OR(F9="不通过",F28="不通过"),"不通过",IF(F29="待评","待评",IF(F29="未达底线","不通过",IF(AND(F9="通过",F28="通过"),"通过","待验证"))))</f>
        <v>待评</v>
      </c>
      <c r="C29" s="1"/>
      <c r="D29" s="1"/>
      <c r="E29" s="1" t="s">
        <v>231</v>
      </c>
      <c r="F29" s="1" t="str">
        <f t="array" ref="F29">IF(NOT(ISNUMBER(B8)),"待评",IF(AND(B8&gt;=80,F17&gt;=4,F23&gt;=4,F15&gt;=3.5,F16&gt;=3.5,F18&gt;=3.5,F21&gt;=3.5,INDEX('评分录入'!$F$6:$F$65,MATCH("I1",'评分录入'!$A$6:$A$65,0))&gt;=4,MIN('评分录入'!G6:G65)&gt;=3),"达到底线","未达底线"))</f>
        <v>待评</v>
      </c>
      <c r="G29" s="1"/>
      <c r="H29" s="1"/>
    </row>
    <row r="30" ht="27.75" customHeight="1">
      <c r="A30" s="1"/>
      <c r="B30" s="1"/>
      <c r="C30" s="1"/>
      <c r="D30" s="1"/>
      <c r="E30" s="1"/>
      <c r="F30" s="1"/>
      <c r="G30" s="1"/>
      <c r="H30" s="1"/>
    </row>
    <row r="31" ht="27.75" customHeight="1">
      <c r="A31" s="1" t="s">
        <v>248</v>
      </c>
      <c r="B31" s="1" t="str">
        <f>IF(NOT(ISNUMBER(B8)),"待评",IF(B8&lt;90,"未达90分",IF(MIN(F14:F25)&lt;4,"维度底线未满足",IF(B29="通过","满足领先建议线",IF(B29="不通过","验收未通过","待审查")))))</f>
        <v>待评</v>
      </c>
      <c r="C31" s="1"/>
      <c r="D31" s="1"/>
      <c r="E31" s="1"/>
      <c r="F31" s="1"/>
      <c r="G31" s="1"/>
      <c r="H31" s="1"/>
    </row>
    <row r="32" ht="27.75" customHeight="1">
      <c r="A32" s="1"/>
      <c r="B32" s="1"/>
      <c r="C32" s="1"/>
      <c r="D32" s="1"/>
      <c r="E32" s="1"/>
      <c r="F32" s="1"/>
      <c r="G32" s="1"/>
      <c r="H32" s="1"/>
    </row>
    <row r="33" ht="27.75" customHeight="1">
      <c r="A33" s="7" t="s">
        <v>255</v>
      </c>
      <c r="B33" s="1"/>
      <c r="C33" s="1"/>
      <c r="D33" s="1"/>
      <c r="E33" s="1"/>
      <c r="F33" s="1"/>
      <c r="G33" s="1"/>
      <c r="H33" s="1"/>
    </row>
    <row r="34" ht="27.75" customHeight="1">
      <c r="A34" s="1"/>
      <c r="B34" s="1"/>
      <c r="C34" s="1"/>
      <c r="D34" s="1"/>
      <c r="E34" s="1"/>
      <c r="F34" s="1"/>
      <c r="G34" s="1"/>
      <c r="H34" s="1"/>
    </row>
    <row r="35" ht="27.75" customHeight="1">
      <c r="A35" s="7" t="s">
        <v>256</v>
      </c>
      <c r="B35" s="1"/>
      <c r="C35" s="1"/>
      <c r="D35" s="1"/>
      <c r="E35" s="1"/>
      <c r="F35" s="1"/>
      <c r="G35" s="1"/>
      <c r="H35" s="1"/>
    </row>
    <row r="36" ht="27.75" customHeight="1">
      <c r="A36" s="1"/>
      <c r="B36" s="1"/>
      <c r="C36" s="1"/>
      <c r="D36" s="1"/>
      <c r="E36" s="1"/>
      <c r="F36" s="1"/>
      <c r="G36" s="1"/>
      <c r="H36" s="1"/>
    </row>
    <row r="37" ht="27.75" customHeight="1">
      <c r="A37" s="7" t="s">
        <v>258</v>
      </c>
      <c r="B37" s="1"/>
      <c r="C37" s="1"/>
      <c r="D37" s="1"/>
      <c r="E37" s="1"/>
      <c r="F37" s="1"/>
      <c r="G37" s="1"/>
      <c r="H37" s="1"/>
    </row>
    <row r="38" ht="27.75" customHeight="1">
      <c r="A38" s="1"/>
      <c r="B38" s="1"/>
      <c r="C38" s="1"/>
      <c r="D38" s="1"/>
      <c r="E38" s="1"/>
      <c r="F38" s="1"/>
      <c r="G38" s="1"/>
      <c r="H38" s="1"/>
    </row>
    <row r="39" ht="27.75" customHeight="1">
      <c r="A39" s="7" t="s">
        <v>260</v>
      </c>
      <c r="B39" s="1"/>
      <c r="C39" s="1"/>
      <c r="D39" s="1"/>
      <c r="E39" s="1"/>
      <c r="F39" s="1"/>
      <c r="G39" s="1"/>
      <c r="H39" s="1"/>
    </row>
    <row r="40" ht="27.75" customHeight="1">
      <c r="A40" s="1"/>
      <c r="B40" s="1"/>
      <c r="C40" s="1"/>
      <c r="D40" s="1"/>
      <c r="E40" s="1"/>
      <c r="F40" s="1"/>
      <c r="G40" s="1"/>
      <c r="H40" s="1"/>
    </row>
    <row r="41" ht="27.75" customHeight="1">
      <c r="A41" s="1" t="s">
        <v>262</v>
      </c>
      <c r="B41" s="29" t="str">
        <f>IF(COUNT('评分录入'!R6:R65)=0,"",SUM('评分录入'!R6:R65))</f>
        <v/>
      </c>
      <c r="C41" s="1"/>
      <c r="D41" s="1"/>
      <c r="E41" s="1" t="s">
        <v>266</v>
      </c>
      <c r="F41" s="29" t="str">
        <f>IF(AND(ISNUMBER(B8),ISNUMBER(B41)),B8+B41,"")</f>
        <v/>
      </c>
      <c r="G41" s="1"/>
      <c r="H41" s="1"/>
    </row>
    <row r="42" ht="27.75" customHeight="1">
      <c r="A42" s="1"/>
      <c r="B42" s="1"/>
      <c r="C42" s="1"/>
      <c r="D42" s="1"/>
      <c r="E42" s="1"/>
      <c r="F42" s="1"/>
      <c r="G42" s="1"/>
      <c r="H42" s="1"/>
    </row>
    <row r="43" ht="27.75" customHeight="1">
      <c r="A43" s="7" t="s">
        <v>269</v>
      </c>
      <c r="B43" s="1"/>
      <c r="C43" s="1"/>
      <c r="D43" s="1"/>
      <c r="E43" s="1"/>
      <c r="F43" s="1"/>
      <c r="G43" s="1"/>
      <c r="H43" s="1"/>
    </row>
    <row r="44" ht="27.75" customHeight="1">
      <c r="A44" s="1"/>
      <c r="B44" s="1"/>
      <c r="C44" s="1"/>
      <c r="D44" s="1"/>
      <c r="E44" s="1"/>
      <c r="F44" s="1"/>
      <c r="G44" s="1"/>
      <c r="H44" s="1"/>
    </row>
    <row r="45" ht="27.75" customHeight="1">
      <c r="A45" s="1"/>
      <c r="B45" s="1"/>
      <c r="C45" s="1"/>
      <c r="D45" s="1"/>
      <c r="E45" s="1"/>
      <c r="F45" s="1"/>
      <c r="G45" s="1"/>
      <c r="H45" s="1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14:F25">
    <cfRule type="expression" dxfId="4" priority="1">
      <formula>AND(ISNUMBER(F14),F14&lt;3)</formula>
    </cfRule>
  </conditionalFormatting>
  <dataValidations>
    <dataValidation type="list" allowBlank="1" sqref="F9 F28">
      <formula1>"待验证,通过,不通过"</formula1>
    </dataValidation>
    <dataValidation type="list" allowBlank="1" sqref="B6">
      <formula1>"30,40,60"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7.75"/>
    <col customWidth="1" min="2" max="2" width="20.0"/>
    <col customWidth="1" min="3" max="3" width="26.88"/>
    <col customWidth="1" min="4" max="6" width="10.5"/>
    <col customWidth="1" min="7" max="8" width="12.25"/>
    <col customWidth="1" min="9" max="9" width="13.5"/>
    <col customWidth="1" min="10" max="11" width="34.38"/>
    <col customWidth="1" min="12" max="12" width="28.75"/>
    <col customWidth="1" min="13" max="13" width="41.25"/>
    <col customWidth="1" min="14" max="14" width="12.5"/>
    <col customWidth="1" min="15" max="15" width="11.88"/>
    <col customWidth="1" min="16" max="17" width="10.0"/>
    <col customWidth="1" min="18" max="18" width="11.88"/>
    <col customWidth="1" min="19" max="26" width="8.63"/>
  </cols>
  <sheetData>
    <row r="1" ht="27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33.75" customHeight="1">
      <c r="A2" s="2" t="s">
        <v>11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9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ht="27.75" customHeight="1">
      <c r="A4" s="7" t="s">
        <v>16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ht="37.5" customHeight="1">
      <c r="A5" s="8" t="s">
        <v>15</v>
      </c>
      <c r="B5" s="8" t="s">
        <v>18</v>
      </c>
      <c r="C5" s="8" t="s">
        <v>20</v>
      </c>
      <c r="D5" s="8" t="s">
        <v>22</v>
      </c>
      <c r="E5" s="8" t="s">
        <v>24</v>
      </c>
      <c r="F5" s="8" t="s">
        <v>28</v>
      </c>
      <c r="G5" s="8" t="s">
        <v>32</v>
      </c>
      <c r="H5" s="8" t="s">
        <v>35</v>
      </c>
      <c r="I5" s="8" t="s">
        <v>37</v>
      </c>
      <c r="J5" s="8" t="s">
        <v>38</v>
      </c>
      <c r="K5" s="8" t="s">
        <v>41</v>
      </c>
      <c r="L5" s="8" t="s">
        <v>43</v>
      </c>
      <c r="M5" s="8" t="s">
        <v>45</v>
      </c>
      <c r="N5" s="8" t="s">
        <v>31</v>
      </c>
      <c r="O5" s="8" t="s">
        <v>50</v>
      </c>
      <c r="P5" s="8" t="s">
        <v>51</v>
      </c>
      <c r="Q5" s="8" t="s">
        <v>40</v>
      </c>
      <c r="R5" s="8" t="s">
        <v>54</v>
      </c>
    </row>
    <row r="6" ht="48.0" customHeight="1">
      <c r="A6" s="10" t="s">
        <v>47</v>
      </c>
      <c r="B6" s="10" t="s">
        <v>52</v>
      </c>
      <c r="C6" s="10" t="s">
        <v>53</v>
      </c>
      <c r="D6" s="17">
        <f t="array" ref="D6">INDEX('60项标准'!$D$6:$D$65,MATCH(A6,'60项标准'!$A$6:$A$65,0))</f>
        <v>1.2</v>
      </c>
      <c r="E6" s="20"/>
      <c r="F6" s="20"/>
      <c r="G6" s="17" t="str">
        <f>IF(P6=1,ROUND(E6*'使用说明'!$B$5+F6*'使用说明'!$B$6,6),"")</f>
        <v/>
      </c>
      <c r="H6" s="17" t="str">
        <f t="shared" ref="H6:H65" si="1">IF(P6=1,G6/5*D6,"")</f>
        <v/>
      </c>
      <c r="I6" s="12"/>
      <c r="J6" s="12"/>
      <c r="K6" s="12"/>
      <c r="L6" s="12"/>
      <c r="M6" s="12"/>
      <c r="N6" s="12"/>
      <c r="O6" s="23"/>
      <c r="P6" s="13">
        <f t="shared" ref="P6:P65" si="2">IF(COUNT(E6:F6)&lt;&gt;2,0,IF(AND(MIN(E6:F6)&gt;=0,MAX(E6:F6)&lt;=5),1,0))</f>
        <v>0</v>
      </c>
      <c r="Q6" s="13">
        <f t="shared" ref="Q6:Q65" si="3">IF(AND(I6="已核验",J6&lt;&gt;"",K6&lt;&gt;"",L6&lt;&gt;""),1,0)</f>
        <v>0</v>
      </c>
      <c r="R6" s="17" t="str">
        <f t="shared" ref="R6:R65" si="4">IF(AND(P6=1,ISNUMBER(O6),O6&gt;=0,O6&lt;=5),(O6-G6)/5*D6,"")</f>
        <v/>
      </c>
    </row>
    <row r="7" ht="48.0" customHeight="1">
      <c r="A7" s="18" t="s">
        <v>68</v>
      </c>
      <c r="B7" s="18" t="s">
        <v>52</v>
      </c>
      <c r="C7" s="18" t="s">
        <v>69</v>
      </c>
      <c r="D7" s="26">
        <f t="array" ref="D7">INDEX('60项标准'!$D$6:$D$65,MATCH(A7,'60项标准'!$A$6:$A$65,0))</f>
        <v>1.2</v>
      </c>
      <c r="E7" s="20"/>
      <c r="F7" s="20"/>
      <c r="G7" s="17" t="str">
        <f>IF(P7=1,ROUND(E7*'使用说明'!$B$5+F7*'使用说明'!$B$6,6),"")</f>
        <v/>
      </c>
      <c r="H7" s="17" t="str">
        <f t="shared" si="1"/>
        <v/>
      </c>
      <c r="I7" s="12"/>
      <c r="J7" s="12"/>
      <c r="K7" s="12"/>
      <c r="L7" s="12"/>
      <c r="M7" s="12"/>
      <c r="N7" s="12"/>
      <c r="O7" s="23"/>
      <c r="P7" s="13">
        <f t="shared" si="2"/>
        <v>0</v>
      </c>
      <c r="Q7" s="13">
        <f t="shared" si="3"/>
        <v>0</v>
      </c>
      <c r="R7" s="17" t="str">
        <f t="shared" si="4"/>
        <v/>
      </c>
    </row>
    <row r="8" ht="48.0" customHeight="1">
      <c r="A8" s="10" t="s">
        <v>75</v>
      </c>
      <c r="B8" s="10" t="s">
        <v>52</v>
      </c>
      <c r="C8" s="10" t="s">
        <v>76</v>
      </c>
      <c r="D8" s="17">
        <f t="array" ref="D8">INDEX('60项标准'!$D$6:$D$65,MATCH(A8,'60项标准'!$A$6:$A$65,0))</f>
        <v>1.2</v>
      </c>
      <c r="E8" s="20"/>
      <c r="F8" s="20"/>
      <c r="G8" s="17" t="str">
        <f>IF(P8=1,ROUND(E8*'使用说明'!$B$5+F8*'使用说明'!$B$6,6),"")</f>
        <v/>
      </c>
      <c r="H8" s="17" t="str">
        <f t="shared" si="1"/>
        <v/>
      </c>
      <c r="I8" s="12"/>
      <c r="J8" s="12"/>
      <c r="K8" s="12"/>
      <c r="L8" s="12"/>
      <c r="M8" s="12"/>
      <c r="N8" s="12"/>
      <c r="O8" s="23"/>
      <c r="P8" s="13">
        <f t="shared" si="2"/>
        <v>0</v>
      </c>
      <c r="Q8" s="13">
        <f t="shared" si="3"/>
        <v>0</v>
      </c>
      <c r="R8" s="17" t="str">
        <f t="shared" si="4"/>
        <v/>
      </c>
    </row>
    <row r="9" ht="48.0" customHeight="1">
      <c r="A9" s="18" t="s">
        <v>81</v>
      </c>
      <c r="B9" s="18" t="s">
        <v>52</v>
      </c>
      <c r="C9" s="18" t="s">
        <v>83</v>
      </c>
      <c r="D9" s="26">
        <f t="array" ref="D9">INDEX('60项标准'!$D$6:$D$65,MATCH(A9,'60项标准'!$A$6:$A$65,0))</f>
        <v>1.2</v>
      </c>
      <c r="E9" s="20"/>
      <c r="F9" s="20"/>
      <c r="G9" s="17" t="str">
        <f>IF(P9=1,ROUND(E9*'使用说明'!$B$5+F9*'使用说明'!$B$6,6),"")</f>
        <v/>
      </c>
      <c r="H9" s="17" t="str">
        <f t="shared" si="1"/>
        <v/>
      </c>
      <c r="I9" s="12"/>
      <c r="J9" s="12"/>
      <c r="K9" s="12"/>
      <c r="L9" s="12"/>
      <c r="M9" s="12"/>
      <c r="N9" s="12"/>
      <c r="O9" s="23"/>
      <c r="P9" s="13">
        <f t="shared" si="2"/>
        <v>0</v>
      </c>
      <c r="Q9" s="13">
        <f t="shared" si="3"/>
        <v>0</v>
      </c>
      <c r="R9" s="17" t="str">
        <f t="shared" si="4"/>
        <v/>
      </c>
    </row>
    <row r="10" ht="48.0" customHeight="1">
      <c r="A10" s="10" t="s">
        <v>90</v>
      </c>
      <c r="B10" s="10" t="s">
        <v>52</v>
      </c>
      <c r="C10" s="10" t="s">
        <v>92</v>
      </c>
      <c r="D10" s="17">
        <f t="array" ref="D10">INDEX('60项标准'!$D$6:$D$65,MATCH(A10,'60项标准'!$A$6:$A$65,0))</f>
        <v>1.2</v>
      </c>
      <c r="E10" s="20"/>
      <c r="F10" s="20"/>
      <c r="G10" s="17" t="str">
        <f>IF(P10=1,ROUND(E10*'使用说明'!$B$5+F10*'使用说明'!$B$6,6),"")</f>
        <v/>
      </c>
      <c r="H10" s="17" t="str">
        <f t="shared" si="1"/>
        <v/>
      </c>
      <c r="I10" s="12"/>
      <c r="J10" s="12"/>
      <c r="K10" s="12"/>
      <c r="L10" s="12"/>
      <c r="M10" s="12"/>
      <c r="N10" s="12"/>
      <c r="O10" s="23"/>
      <c r="P10" s="13">
        <f t="shared" si="2"/>
        <v>0</v>
      </c>
      <c r="Q10" s="13">
        <f t="shared" si="3"/>
        <v>0</v>
      </c>
      <c r="R10" s="17" t="str">
        <f t="shared" si="4"/>
        <v/>
      </c>
    </row>
    <row r="11" ht="48.0" customHeight="1">
      <c r="A11" s="18" t="s">
        <v>97</v>
      </c>
      <c r="B11" s="18" t="s">
        <v>86</v>
      </c>
      <c r="C11" s="18" t="s">
        <v>100</v>
      </c>
      <c r="D11" s="26">
        <f t="array" ref="D11">INDEX('60项标准'!$D$6:$D$65,MATCH(A11,'60项标准'!$A$6:$A$65,0))</f>
        <v>2.4</v>
      </c>
      <c r="E11" s="20"/>
      <c r="F11" s="20"/>
      <c r="G11" s="17" t="str">
        <f>IF(P11=1,ROUND(E11*'使用说明'!$B$5+F11*'使用说明'!$B$6,6),"")</f>
        <v/>
      </c>
      <c r="H11" s="17" t="str">
        <f t="shared" si="1"/>
        <v/>
      </c>
      <c r="I11" s="12"/>
      <c r="J11" s="12"/>
      <c r="K11" s="12"/>
      <c r="L11" s="12"/>
      <c r="M11" s="12"/>
      <c r="N11" s="12"/>
      <c r="O11" s="23"/>
      <c r="P11" s="13">
        <f t="shared" si="2"/>
        <v>0</v>
      </c>
      <c r="Q11" s="13">
        <f t="shared" si="3"/>
        <v>0</v>
      </c>
      <c r="R11" s="17" t="str">
        <f t="shared" si="4"/>
        <v/>
      </c>
    </row>
    <row r="12" ht="48.0" customHeight="1">
      <c r="A12" s="10" t="s">
        <v>105</v>
      </c>
      <c r="B12" s="10" t="s">
        <v>86</v>
      </c>
      <c r="C12" s="10" t="s">
        <v>107</v>
      </c>
      <c r="D12" s="17">
        <f t="array" ref="D12">INDEX('60项标准'!$D$6:$D$65,MATCH(A12,'60项标准'!$A$6:$A$65,0))</f>
        <v>2.4</v>
      </c>
      <c r="E12" s="20"/>
      <c r="F12" s="20"/>
      <c r="G12" s="17" t="str">
        <f>IF(P12=1,ROUND(E12*'使用说明'!$B$5+F12*'使用说明'!$B$6,6),"")</f>
        <v/>
      </c>
      <c r="H12" s="17" t="str">
        <f t="shared" si="1"/>
        <v/>
      </c>
      <c r="I12" s="12"/>
      <c r="J12" s="12"/>
      <c r="K12" s="12"/>
      <c r="L12" s="12"/>
      <c r="M12" s="12"/>
      <c r="N12" s="12"/>
      <c r="O12" s="23"/>
      <c r="P12" s="13">
        <f t="shared" si="2"/>
        <v>0</v>
      </c>
      <c r="Q12" s="13">
        <f t="shared" si="3"/>
        <v>0</v>
      </c>
      <c r="R12" s="17" t="str">
        <f t="shared" si="4"/>
        <v/>
      </c>
    </row>
    <row r="13" ht="48.0" customHeight="1">
      <c r="A13" s="18" t="s">
        <v>114</v>
      </c>
      <c r="B13" s="18" t="s">
        <v>86</v>
      </c>
      <c r="C13" s="18" t="s">
        <v>115</v>
      </c>
      <c r="D13" s="26">
        <f t="array" ref="D13">INDEX('60项标准'!$D$6:$D$65,MATCH(A13,'60项标准'!$A$6:$A$65,0))</f>
        <v>2.4</v>
      </c>
      <c r="E13" s="20"/>
      <c r="F13" s="20"/>
      <c r="G13" s="17" t="str">
        <f>IF(P13=1,ROUND(E13*'使用说明'!$B$5+F13*'使用说明'!$B$6,6),"")</f>
        <v/>
      </c>
      <c r="H13" s="17" t="str">
        <f t="shared" si="1"/>
        <v/>
      </c>
      <c r="I13" s="12"/>
      <c r="J13" s="12"/>
      <c r="K13" s="12"/>
      <c r="L13" s="12"/>
      <c r="M13" s="12"/>
      <c r="N13" s="12"/>
      <c r="O13" s="23"/>
      <c r="P13" s="13">
        <f t="shared" si="2"/>
        <v>0</v>
      </c>
      <c r="Q13" s="13">
        <f t="shared" si="3"/>
        <v>0</v>
      </c>
      <c r="R13" s="17" t="str">
        <f t="shared" si="4"/>
        <v/>
      </c>
    </row>
    <row r="14" ht="48.0" customHeight="1">
      <c r="A14" s="10" t="s">
        <v>121</v>
      </c>
      <c r="B14" s="10" t="s">
        <v>86</v>
      </c>
      <c r="C14" s="10" t="s">
        <v>124</v>
      </c>
      <c r="D14" s="17">
        <f t="array" ref="D14">INDEX('60项标准'!$D$6:$D$65,MATCH(A14,'60项标准'!$A$6:$A$65,0))</f>
        <v>2.4</v>
      </c>
      <c r="E14" s="20"/>
      <c r="F14" s="20"/>
      <c r="G14" s="17" t="str">
        <f>IF(P14=1,ROUND(E14*'使用说明'!$B$5+F14*'使用说明'!$B$6,6),"")</f>
        <v/>
      </c>
      <c r="H14" s="17" t="str">
        <f t="shared" si="1"/>
        <v/>
      </c>
      <c r="I14" s="12"/>
      <c r="J14" s="12"/>
      <c r="K14" s="12"/>
      <c r="L14" s="12"/>
      <c r="M14" s="12"/>
      <c r="N14" s="12"/>
      <c r="O14" s="23"/>
      <c r="P14" s="13">
        <f t="shared" si="2"/>
        <v>0</v>
      </c>
      <c r="Q14" s="13">
        <f t="shared" si="3"/>
        <v>0</v>
      </c>
      <c r="R14" s="17" t="str">
        <f t="shared" si="4"/>
        <v/>
      </c>
    </row>
    <row r="15" ht="48.0" customHeight="1">
      <c r="A15" s="18" t="s">
        <v>128</v>
      </c>
      <c r="B15" s="18" t="s">
        <v>86</v>
      </c>
      <c r="C15" s="18" t="s">
        <v>133</v>
      </c>
      <c r="D15" s="26">
        <f t="array" ref="D15">INDEX('60项标准'!$D$6:$D$65,MATCH(A15,'60项标准'!$A$6:$A$65,0))</f>
        <v>2.4</v>
      </c>
      <c r="E15" s="20"/>
      <c r="F15" s="20"/>
      <c r="G15" s="17" t="str">
        <f>IF(P15=1,ROUND(E15*'使用说明'!$B$5+F15*'使用说明'!$B$6,6),"")</f>
        <v/>
      </c>
      <c r="H15" s="17" t="str">
        <f t="shared" si="1"/>
        <v/>
      </c>
      <c r="I15" s="12"/>
      <c r="J15" s="12"/>
      <c r="K15" s="12"/>
      <c r="L15" s="12"/>
      <c r="M15" s="12"/>
      <c r="N15" s="12"/>
      <c r="O15" s="23"/>
      <c r="P15" s="13">
        <f t="shared" si="2"/>
        <v>0</v>
      </c>
      <c r="Q15" s="13">
        <f t="shared" si="3"/>
        <v>0</v>
      </c>
      <c r="R15" s="17" t="str">
        <f t="shared" si="4"/>
        <v/>
      </c>
    </row>
    <row r="16" ht="48.0" customHeight="1">
      <c r="A16" s="10" t="s">
        <v>137</v>
      </c>
      <c r="B16" s="10" t="s">
        <v>99</v>
      </c>
      <c r="C16" s="10" t="s">
        <v>139</v>
      </c>
      <c r="D16" s="17">
        <f t="array" ref="D16">INDEX('60项标准'!$D$6:$D$65,MATCH(A16,'60项标准'!$A$6:$A$65,0))</f>
        <v>2</v>
      </c>
      <c r="E16" s="20"/>
      <c r="F16" s="20"/>
      <c r="G16" s="17" t="str">
        <f>IF(P16=1,ROUND(E16*'使用说明'!$B$5+F16*'使用说明'!$B$6,6),"")</f>
        <v/>
      </c>
      <c r="H16" s="17" t="str">
        <f t="shared" si="1"/>
        <v/>
      </c>
      <c r="I16" s="12"/>
      <c r="J16" s="12"/>
      <c r="K16" s="12"/>
      <c r="L16" s="12"/>
      <c r="M16" s="12"/>
      <c r="N16" s="12"/>
      <c r="O16" s="23"/>
      <c r="P16" s="13">
        <f t="shared" si="2"/>
        <v>0</v>
      </c>
      <c r="Q16" s="13">
        <f t="shared" si="3"/>
        <v>0</v>
      </c>
      <c r="R16" s="17" t="str">
        <f t="shared" si="4"/>
        <v/>
      </c>
    </row>
    <row r="17" ht="48.0" customHeight="1">
      <c r="A17" s="18" t="s">
        <v>146</v>
      </c>
      <c r="B17" s="18" t="s">
        <v>99</v>
      </c>
      <c r="C17" s="18" t="s">
        <v>149</v>
      </c>
      <c r="D17" s="26">
        <f t="array" ref="D17">INDEX('60项标准'!$D$6:$D$65,MATCH(A17,'60项标准'!$A$6:$A$65,0))</f>
        <v>2</v>
      </c>
      <c r="E17" s="20"/>
      <c r="F17" s="20"/>
      <c r="G17" s="17" t="str">
        <f>IF(P17=1,ROUND(E17*'使用说明'!$B$5+F17*'使用说明'!$B$6,6),"")</f>
        <v/>
      </c>
      <c r="H17" s="17" t="str">
        <f t="shared" si="1"/>
        <v/>
      </c>
      <c r="I17" s="12"/>
      <c r="J17" s="12"/>
      <c r="K17" s="12"/>
      <c r="L17" s="12"/>
      <c r="M17" s="12"/>
      <c r="N17" s="12"/>
      <c r="O17" s="23"/>
      <c r="P17" s="13">
        <f t="shared" si="2"/>
        <v>0</v>
      </c>
      <c r="Q17" s="13">
        <f t="shared" si="3"/>
        <v>0</v>
      </c>
      <c r="R17" s="17" t="str">
        <f t="shared" si="4"/>
        <v/>
      </c>
    </row>
    <row r="18" ht="48.0" customHeight="1">
      <c r="A18" s="10" t="s">
        <v>155</v>
      </c>
      <c r="B18" s="10" t="s">
        <v>99</v>
      </c>
      <c r="C18" s="10" t="s">
        <v>157</v>
      </c>
      <c r="D18" s="17">
        <f t="array" ref="D18">INDEX('60项标准'!$D$6:$D$65,MATCH(A18,'60项标准'!$A$6:$A$65,0))</f>
        <v>2</v>
      </c>
      <c r="E18" s="20"/>
      <c r="F18" s="20"/>
      <c r="G18" s="17" t="str">
        <f>IF(P18=1,ROUND(E18*'使用说明'!$B$5+F18*'使用说明'!$B$6,6),"")</f>
        <v/>
      </c>
      <c r="H18" s="17" t="str">
        <f t="shared" si="1"/>
        <v/>
      </c>
      <c r="I18" s="12"/>
      <c r="J18" s="12"/>
      <c r="K18" s="12"/>
      <c r="L18" s="12"/>
      <c r="M18" s="12"/>
      <c r="N18" s="12"/>
      <c r="O18" s="23"/>
      <c r="P18" s="13">
        <f t="shared" si="2"/>
        <v>0</v>
      </c>
      <c r="Q18" s="13">
        <f t="shared" si="3"/>
        <v>0</v>
      </c>
      <c r="R18" s="17" t="str">
        <f t="shared" si="4"/>
        <v/>
      </c>
    </row>
    <row r="19" ht="48.0" customHeight="1">
      <c r="A19" s="18" t="s">
        <v>164</v>
      </c>
      <c r="B19" s="18" t="s">
        <v>99</v>
      </c>
      <c r="C19" s="18" t="s">
        <v>165</v>
      </c>
      <c r="D19" s="26">
        <f t="array" ref="D19">INDEX('60项标准'!$D$6:$D$65,MATCH(A19,'60项标准'!$A$6:$A$65,0))</f>
        <v>2</v>
      </c>
      <c r="E19" s="20"/>
      <c r="F19" s="20"/>
      <c r="G19" s="17" t="str">
        <f>IF(P19=1,ROUND(E19*'使用说明'!$B$5+F19*'使用说明'!$B$6,6),"")</f>
        <v/>
      </c>
      <c r="H19" s="17" t="str">
        <f t="shared" si="1"/>
        <v/>
      </c>
      <c r="I19" s="12"/>
      <c r="J19" s="12"/>
      <c r="K19" s="12"/>
      <c r="L19" s="12"/>
      <c r="M19" s="12"/>
      <c r="N19" s="12"/>
      <c r="O19" s="23"/>
      <c r="P19" s="13">
        <f t="shared" si="2"/>
        <v>0</v>
      </c>
      <c r="Q19" s="13">
        <f t="shared" si="3"/>
        <v>0</v>
      </c>
      <c r="R19" s="17" t="str">
        <f t="shared" si="4"/>
        <v/>
      </c>
    </row>
    <row r="20" ht="48.0" customHeight="1">
      <c r="A20" s="10" t="s">
        <v>171</v>
      </c>
      <c r="B20" s="10" t="s">
        <v>99</v>
      </c>
      <c r="C20" s="10" t="s">
        <v>174</v>
      </c>
      <c r="D20" s="17">
        <f t="array" ref="D20">INDEX('60项标准'!$D$6:$D$65,MATCH(A20,'60项标准'!$A$6:$A$65,0))</f>
        <v>2</v>
      </c>
      <c r="E20" s="20"/>
      <c r="F20" s="20"/>
      <c r="G20" s="17" t="str">
        <f>IF(P20=1,ROUND(E20*'使用说明'!$B$5+F20*'使用说明'!$B$6,6),"")</f>
        <v/>
      </c>
      <c r="H20" s="17" t="str">
        <f t="shared" si="1"/>
        <v/>
      </c>
      <c r="I20" s="12"/>
      <c r="J20" s="12"/>
      <c r="K20" s="12"/>
      <c r="L20" s="12"/>
      <c r="M20" s="12"/>
      <c r="N20" s="12"/>
      <c r="O20" s="23"/>
      <c r="P20" s="13">
        <f t="shared" si="2"/>
        <v>0</v>
      </c>
      <c r="Q20" s="13">
        <f t="shared" si="3"/>
        <v>0</v>
      </c>
      <c r="R20" s="17" t="str">
        <f t="shared" si="4"/>
        <v/>
      </c>
    </row>
    <row r="21" ht="48.0" customHeight="1">
      <c r="A21" s="18" t="s">
        <v>183</v>
      </c>
      <c r="B21" s="18" t="s">
        <v>111</v>
      </c>
      <c r="C21" s="18" t="s">
        <v>185</v>
      </c>
      <c r="D21" s="26">
        <f t="array" ref="D21">INDEX('60项标准'!$D$6:$D$65,MATCH(A21,'60项标准'!$A$6:$A$65,0))</f>
        <v>2.8</v>
      </c>
      <c r="E21" s="20"/>
      <c r="F21" s="20"/>
      <c r="G21" s="17" t="str">
        <f>IF(P21=1,ROUND(E21*'使用说明'!$B$5+F21*'使用说明'!$B$6,6),"")</f>
        <v/>
      </c>
      <c r="H21" s="17" t="str">
        <f t="shared" si="1"/>
        <v/>
      </c>
      <c r="I21" s="12"/>
      <c r="J21" s="12"/>
      <c r="K21" s="12"/>
      <c r="L21" s="12"/>
      <c r="M21" s="12"/>
      <c r="N21" s="12"/>
      <c r="O21" s="23"/>
      <c r="P21" s="13">
        <f t="shared" si="2"/>
        <v>0</v>
      </c>
      <c r="Q21" s="13">
        <f t="shared" si="3"/>
        <v>0</v>
      </c>
      <c r="R21" s="17" t="str">
        <f t="shared" si="4"/>
        <v/>
      </c>
    </row>
    <row r="22" ht="48.0" customHeight="1">
      <c r="A22" s="10" t="s">
        <v>193</v>
      </c>
      <c r="B22" s="10" t="s">
        <v>111</v>
      </c>
      <c r="C22" s="10" t="s">
        <v>194</v>
      </c>
      <c r="D22" s="17">
        <f t="array" ref="D22">INDEX('60项标准'!$D$6:$D$65,MATCH(A22,'60项标准'!$A$6:$A$65,0))</f>
        <v>2.8</v>
      </c>
      <c r="E22" s="20"/>
      <c r="F22" s="20"/>
      <c r="G22" s="17" t="str">
        <f>IF(P22=1,ROUND(E22*'使用说明'!$B$5+F22*'使用说明'!$B$6,6),"")</f>
        <v/>
      </c>
      <c r="H22" s="17" t="str">
        <f t="shared" si="1"/>
        <v/>
      </c>
      <c r="I22" s="12"/>
      <c r="J22" s="12"/>
      <c r="K22" s="12"/>
      <c r="L22" s="12"/>
      <c r="M22" s="12"/>
      <c r="N22" s="12"/>
      <c r="O22" s="23"/>
      <c r="P22" s="13">
        <f t="shared" si="2"/>
        <v>0</v>
      </c>
      <c r="Q22" s="13">
        <f t="shared" si="3"/>
        <v>0</v>
      </c>
      <c r="R22" s="17" t="str">
        <f t="shared" si="4"/>
        <v/>
      </c>
    </row>
    <row r="23" ht="48.0" customHeight="1">
      <c r="A23" s="18" t="s">
        <v>202</v>
      </c>
      <c r="B23" s="18" t="s">
        <v>111</v>
      </c>
      <c r="C23" s="18" t="s">
        <v>203</v>
      </c>
      <c r="D23" s="26">
        <f t="array" ref="D23">INDEX('60项标准'!$D$6:$D$65,MATCH(A23,'60项标准'!$A$6:$A$65,0))</f>
        <v>2.8</v>
      </c>
      <c r="E23" s="20"/>
      <c r="F23" s="20"/>
      <c r="G23" s="17" t="str">
        <f>IF(P23=1,ROUND(E23*'使用说明'!$B$5+F23*'使用说明'!$B$6,6),"")</f>
        <v/>
      </c>
      <c r="H23" s="17" t="str">
        <f t="shared" si="1"/>
        <v/>
      </c>
      <c r="I23" s="12"/>
      <c r="J23" s="12"/>
      <c r="K23" s="12"/>
      <c r="L23" s="12"/>
      <c r="M23" s="12"/>
      <c r="N23" s="12"/>
      <c r="O23" s="23"/>
      <c r="P23" s="13">
        <f t="shared" si="2"/>
        <v>0</v>
      </c>
      <c r="Q23" s="13">
        <f t="shared" si="3"/>
        <v>0</v>
      </c>
      <c r="R23" s="17" t="str">
        <f t="shared" si="4"/>
        <v/>
      </c>
    </row>
    <row r="24" ht="48.0" customHeight="1">
      <c r="A24" s="10" t="s">
        <v>209</v>
      </c>
      <c r="B24" s="10" t="s">
        <v>111</v>
      </c>
      <c r="C24" s="10" t="s">
        <v>210</v>
      </c>
      <c r="D24" s="17">
        <f t="array" ref="D24">INDEX('60项标准'!$D$6:$D$65,MATCH(A24,'60项标准'!$A$6:$A$65,0))</f>
        <v>2.8</v>
      </c>
      <c r="E24" s="20"/>
      <c r="F24" s="20"/>
      <c r="G24" s="17" t="str">
        <f>IF(P24=1,ROUND(E24*'使用说明'!$B$5+F24*'使用说明'!$B$6,6),"")</f>
        <v/>
      </c>
      <c r="H24" s="17" t="str">
        <f t="shared" si="1"/>
        <v/>
      </c>
      <c r="I24" s="12"/>
      <c r="J24" s="12"/>
      <c r="K24" s="12"/>
      <c r="L24" s="12"/>
      <c r="M24" s="12"/>
      <c r="N24" s="12"/>
      <c r="O24" s="23"/>
      <c r="P24" s="13">
        <f t="shared" si="2"/>
        <v>0</v>
      </c>
      <c r="Q24" s="13">
        <f t="shared" si="3"/>
        <v>0</v>
      </c>
      <c r="R24" s="17" t="str">
        <f t="shared" si="4"/>
        <v/>
      </c>
    </row>
    <row r="25" ht="48.0" customHeight="1">
      <c r="A25" s="18" t="s">
        <v>217</v>
      </c>
      <c r="B25" s="18" t="s">
        <v>111</v>
      </c>
      <c r="C25" s="18" t="s">
        <v>218</v>
      </c>
      <c r="D25" s="26">
        <f t="array" ref="D25">INDEX('60项标准'!$D$6:$D$65,MATCH(A25,'60项标准'!$A$6:$A$65,0))</f>
        <v>2.8</v>
      </c>
      <c r="E25" s="20"/>
      <c r="F25" s="20"/>
      <c r="G25" s="17" t="str">
        <f>IF(P25=1,ROUND(E25*'使用说明'!$B$5+F25*'使用说明'!$B$6,6),"")</f>
        <v/>
      </c>
      <c r="H25" s="17" t="str">
        <f t="shared" si="1"/>
        <v/>
      </c>
      <c r="I25" s="12"/>
      <c r="J25" s="12"/>
      <c r="K25" s="12"/>
      <c r="L25" s="12"/>
      <c r="M25" s="12"/>
      <c r="N25" s="12"/>
      <c r="O25" s="23"/>
      <c r="P25" s="13">
        <f t="shared" si="2"/>
        <v>0</v>
      </c>
      <c r="Q25" s="13">
        <f t="shared" si="3"/>
        <v>0</v>
      </c>
      <c r="R25" s="17" t="str">
        <f t="shared" si="4"/>
        <v/>
      </c>
    </row>
    <row r="26" ht="48.0" customHeight="1">
      <c r="A26" s="10" t="s">
        <v>228</v>
      </c>
      <c r="B26" s="10" t="s">
        <v>120</v>
      </c>
      <c r="C26" s="10" t="s">
        <v>229</v>
      </c>
      <c r="D26" s="17">
        <f t="array" ref="D26">INDEX('60项标准'!$D$6:$D$65,MATCH(A26,'60项标准'!$A$6:$A$65,0))</f>
        <v>1.6</v>
      </c>
      <c r="E26" s="20"/>
      <c r="F26" s="20"/>
      <c r="G26" s="17" t="str">
        <f>IF(P26=1,ROUND(E26*'使用说明'!$B$5+F26*'使用说明'!$B$6,6),"")</f>
        <v/>
      </c>
      <c r="H26" s="17" t="str">
        <f t="shared" si="1"/>
        <v/>
      </c>
      <c r="I26" s="12"/>
      <c r="J26" s="12"/>
      <c r="K26" s="12"/>
      <c r="L26" s="12"/>
      <c r="M26" s="12"/>
      <c r="N26" s="12"/>
      <c r="O26" s="23"/>
      <c r="P26" s="13">
        <f t="shared" si="2"/>
        <v>0</v>
      </c>
      <c r="Q26" s="13">
        <f t="shared" si="3"/>
        <v>0</v>
      </c>
      <c r="R26" s="17" t="str">
        <f t="shared" si="4"/>
        <v/>
      </c>
    </row>
    <row r="27" ht="48.0" customHeight="1">
      <c r="A27" s="18" t="s">
        <v>236</v>
      </c>
      <c r="B27" s="18" t="s">
        <v>120</v>
      </c>
      <c r="C27" s="18" t="s">
        <v>237</v>
      </c>
      <c r="D27" s="26">
        <f t="array" ref="D27">INDEX('60项标准'!$D$6:$D$65,MATCH(A27,'60项标准'!$A$6:$A$65,0))</f>
        <v>1.6</v>
      </c>
      <c r="E27" s="20"/>
      <c r="F27" s="20"/>
      <c r="G27" s="17" t="str">
        <f>IF(P27=1,ROUND(E27*'使用说明'!$B$5+F27*'使用说明'!$B$6,6),"")</f>
        <v/>
      </c>
      <c r="H27" s="17" t="str">
        <f t="shared" si="1"/>
        <v/>
      </c>
      <c r="I27" s="12"/>
      <c r="J27" s="12"/>
      <c r="K27" s="12"/>
      <c r="L27" s="12"/>
      <c r="M27" s="12"/>
      <c r="N27" s="12"/>
      <c r="O27" s="23"/>
      <c r="P27" s="13">
        <f t="shared" si="2"/>
        <v>0</v>
      </c>
      <c r="Q27" s="13">
        <f t="shared" si="3"/>
        <v>0</v>
      </c>
      <c r="R27" s="17" t="str">
        <f t="shared" si="4"/>
        <v/>
      </c>
    </row>
    <row r="28" ht="48.0" customHeight="1">
      <c r="A28" s="10" t="s">
        <v>246</v>
      </c>
      <c r="B28" s="10" t="s">
        <v>120</v>
      </c>
      <c r="C28" s="10" t="s">
        <v>247</v>
      </c>
      <c r="D28" s="17">
        <f t="array" ref="D28">INDEX('60项标准'!$D$6:$D$65,MATCH(A28,'60项标准'!$A$6:$A$65,0))</f>
        <v>1.6</v>
      </c>
      <c r="E28" s="20"/>
      <c r="F28" s="20"/>
      <c r="G28" s="17" t="str">
        <f>IF(P28=1,ROUND(E28*'使用说明'!$B$5+F28*'使用说明'!$B$6,6),"")</f>
        <v/>
      </c>
      <c r="H28" s="17" t="str">
        <f t="shared" si="1"/>
        <v/>
      </c>
      <c r="I28" s="12"/>
      <c r="J28" s="12"/>
      <c r="K28" s="12"/>
      <c r="L28" s="12"/>
      <c r="M28" s="12"/>
      <c r="N28" s="12"/>
      <c r="O28" s="23"/>
      <c r="P28" s="13">
        <f t="shared" si="2"/>
        <v>0</v>
      </c>
      <c r="Q28" s="13">
        <f t="shared" si="3"/>
        <v>0</v>
      </c>
      <c r="R28" s="17" t="str">
        <f t="shared" si="4"/>
        <v/>
      </c>
    </row>
    <row r="29" ht="48.0" customHeight="1">
      <c r="A29" s="18" t="s">
        <v>254</v>
      </c>
      <c r="B29" s="18" t="s">
        <v>120</v>
      </c>
      <c r="C29" s="18" t="s">
        <v>257</v>
      </c>
      <c r="D29" s="26">
        <f t="array" ref="D29">INDEX('60项标准'!$D$6:$D$65,MATCH(A29,'60项标准'!$A$6:$A$65,0))</f>
        <v>1.6</v>
      </c>
      <c r="E29" s="20"/>
      <c r="F29" s="20"/>
      <c r="G29" s="17" t="str">
        <f>IF(P29=1,ROUND(E29*'使用说明'!$B$5+F29*'使用说明'!$B$6,6),"")</f>
        <v/>
      </c>
      <c r="H29" s="17" t="str">
        <f t="shared" si="1"/>
        <v/>
      </c>
      <c r="I29" s="12"/>
      <c r="J29" s="12"/>
      <c r="K29" s="12"/>
      <c r="L29" s="12"/>
      <c r="M29" s="12"/>
      <c r="N29" s="12"/>
      <c r="O29" s="23"/>
      <c r="P29" s="13">
        <f t="shared" si="2"/>
        <v>0</v>
      </c>
      <c r="Q29" s="13">
        <f t="shared" si="3"/>
        <v>0</v>
      </c>
      <c r="R29" s="17" t="str">
        <f t="shared" si="4"/>
        <v/>
      </c>
    </row>
    <row r="30" ht="48.0" customHeight="1">
      <c r="A30" s="10" t="s">
        <v>267</v>
      </c>
      <c r="B30" s="10" t="s">
        <v>120</v>
      </c>
      <c r="C30" s="10" t="s">
        <v>268</v>
      </c>
      <c r="D30" s="17">
        <f t="array" ref="D30">INDEX('60项标准'!$D$6:$D$65,MATCH(A30,'60项标准'!$A$6:$A$65,0))</f>
        <v>1.6</v>
      </c>
      <c r="E30" s="20"/>
      <c r="F30" s="20"/>
      <c r="G30" s="17" t="str">
        <f>IF(P30=1,ROUND(E30*'使用说明'!$B$5+F30*'使用说明'!$B$6,6),"")</f>
        <v/>
      </c>
      <c r="H30" s="17" t="str">
        <f t="shared" si="1"/>
        <v/>
      </c>
      <c r="I30" s="12"/>
      <c r="J30" s="12"/>
      <c r="K30" s="12"/>
      <c r="L30" s="12"/>
      <c r="M30" s="12"/>
      <c r="N30" s="12"/>
      <c r="O30" s="23"/>
      <c r="P30" s="13">
        <f t="shared" si="2"/>
        <v>0</v>
      </c>
      <c r="Q30" s="13">
        <f t="shared" si="3"/>
        <v>0</v>
      </c>
      <c r="R30" s="17" t="str">
        <f t="shared" si="4"/>
        <v/>
      </c>
    </row>
    <row r="31" ht="48.0" customHeight="1">
      <c r="A31" s="18" t="s">
        <v>277</v>
      </c>
      <c r="B31" s="18" t="s">
        <v>130</v>
      </c>
      <c r="C31" s="18" t="s">
        <v>278</v>
      </c>
      <c r="D31" s="26">
        <f t="array" ref="D31">INDEX('60项标准'!$D$6:$D$65,MATCH(A31,'60项标准'!$A$6:$A$65,0))</f>
        <v>1.2</v>
      </c>
      <c r="E31" s="20"/>
      <c r="F31" s="20"/>
      <c r="G31" s="17" t="str">
        <f>IF(P31=1,ROUND(E31*'使用说明'!$B$5+F31*'使用说明'!$B$6,6),"")</f>
        <v/>
      </c>
      <c r="H31" s="17" t="str">
        <f t="shared" si="1"/>
        <v/>
      </c>
      <c r="I31" s="12"/>
      <c r="J31" s="12"/>
      <c r="K31" s="12"/>
      <c r="L31" s="12"/>
      <c r="M31" s="12"/>
      <c r="N31" s="12"/>
      <c r="O31" s="23"/>
      <c r="P31" s="13">
        <f t="shared" si="2"/>
        <v>0</v>
      </c>
      <c r="Q31" s="13">
        <f t="shared" si="3"/>
        <v>0</v>
      </c>
      <c r="R31" s="17" t="str">
        <f t="shared" si="4"/>
        <v/>
      </c>
    </row>
    <row r="32" ht="48.0" customHeight="1">
      <c r="A32" s="10" t="s">
        <v>284</v>
      </c>
      <c r="B32" s="10" t="s">
        <v>130</v>
      </c>
      <c r="C32" s="10" t="s">
        <v>285</v>
      </c>
      <c r="D32" s="17">
        <f t="array" ref="D32">INDEX('60项标准'!$D$6:$D$65,MATCH(A32,'60项标准'!$A$6:$A$65,0))</f>
        <v>1.2</v>
      </c>
      <c r="E32" s="20"/>
      <c r="F32" s="20"/>
      <c r="G32" s="17" t="str">
        <f>IF(P32=1,ROUND(E32*'使用说明'!$B$5+F32*'使用说明'!$B$6,6),"")</f>
        <v/>
      </c>
      <c r="H32" s="17" t="str">
        <f t="shared" si="1"/>
        <v/>
      </c>
      <c r="I32" s="12"/>
      <c r="J32" s="12"/>
      <c r="K32" s="12"/>
      <c r="L32" s="12"/>
      <c r="M32" s="12"/>
      <c r="N32" s="12"/>
      <c r="O32" s="23"/>
      <c r="P32" s="13">
        <f t="shared" si="2"/>
        <v>0</v>
      </c>
      <c r="Q32" s="13">
        <f t="shared" si="3"/>
        <v>0</v>
      </c>
      <c r="R32" s="17" t="str">
        <f t="shared" si="4"/>
        <v/>
      </c>
    </row>
    <row r="33" ht="48.0" customHeight="1">
      <c r="A33" s="18" t="s">
        <v>291</v>
      </c>
      <c r="B33" s="18" t="s">
        <v>130</v>
      </c>
      <c r="C33" s="18" t="s">
        <v>292</v>
      </c>
      <c r="D33" s="26">
        <f t="array" ref="D33">INDEX('60项标准'!$D$6:$D$65,MATCH(A33,'60项标准'!$A$6:$A$65,0))</f>
        <v>1.2</v>
      </c>
      <c r="E33" s="20"/>
      <c r="F33" s="20"/>
      <c r="G33" s="17" t="str">
        <f>IF(P33=1,ROUND(E33*'使用说明'!$B$5+F33*'使用说明'!$B$6,6),"")</f>
        <v/>
      </c>
      <c r="H33" s="17" t="str">
        <f t="shared" si="1"/>
        <v/>
      </c>
      <c r="I33" s="12"/>
      <c r="J33" s="12"/>
      <c r="K33" s="12"/>
      <c r="L33" s="12"/>
      <c r="M33" s="12"/>
      <c r="N33" s="12"/>
      <c r="O33" s="23"/>
      <c r="P33" s="13">
        <f t="shared" si="2"/>
        <v>0</v>
      </c>
      <c r="Q33" s="13">
        <f t="shared" si="3"/>
        <v>0</v>
      </c>
      <c r="R33" s="17" t="str">
        <f t="shared" si="4"/>
        <v/>
      </c>
    </row>
    <row r="34" ht="48.0" customHeight="1">
      <c r="A34" s="10" t="s">
        <v>298</v>
      </c>
      <c r="B34" s="10" t="s">
        <v>130</v>
      </c>
      <c r="C34" s="10" t="s">
        <v>299</v>
      </c>
      <c r="D34" s="17">
        <f t="array" ref="D34">INDEX('60项标准'!$D$6:$D$65,MATCH(A34,'60项标准'!$A$6:$A$65,0))</f>
        <v>1.2</v>
      </c>
      <c r="E34" s="20"/>
      <c r="F34" s="20"/>
      <c r="G34" s="17" t="str">
        <f>IF(P34=1,ROUND(E34*'使用说明'!$B$5+F34*'使用说明'!$B$6,6),"")</f>
        <v/>
      </c>
      <c r="H34" s="17" t="str">
        <f t="shared" si="1"/>
        <v/>
      </c>
      <c r="I34" s="12"/>
      <c r="J34" s="12"/>
      <c r="K34" s="12"/>
      <c r="L34" s="12"/>
      <c r="M34" s="12"/>
      <c r="N34" s="12"/>
      <c r="O34" s="23"/>
      <c r="P34" s="13">
        <f t="shared" si="2"/>
        <v>0</v>
      </c>
      <c r="Q34" s="13">
        <f t="shared" si="3"/>
        <v>0</v>
      </c>
      <c r="R34" s="17" t="str">
        <f t="shared" si="4"/>
        <v/>
      </c>
    </row>
    <row r="35" ht="48.0" customHeight="1">
      <c r="A35" s="18" t="s">
        <v>305</v>
      </c>
      <c r="B35" s="18" t="s">
        <v>130</v>
      </c>
      <c r="C35" s="18" t="s">
        <v>306</v>
      </c>
      <c r="D35" s="26">
        <f t="array" ref="D35">INDEX('60项标准'!$D$6:$D$65,MATCH(A35,'60项标准'!$A$6:$A$65,0))</f>
        <v>1.2</v>
      </c>
      <c r="E35" s="20"/>
      <c r="F35" s="20"/>
      <c r="G35" s="17" t="str">
        <f>IF(P35=1,ROUND(E35*'使用说明'!$B$5+F35*'使用说明'!$B$6,6),"")</f>
        <v/>
      </c>
      <c r="H35" s="17" t="str">
        <f t="shared" si="1"/>
        <v/>
      </c>
      <c r="I35" s="12"/>
      <c r="J35" s="12"/>
      <c r="K35" s="12"/>
      <c r="L35" s="12"/>
      <c r="M35" s="12"/>
      <c r="N35" s="12"/>
      <c r="O35" s="23"/>
      <c r="P35" s="13">
        <f t="shared" si="2"/>
        <v>0</v>
      </c>
      <c r="Q35" s="13">
        <f t="shared" si="3"/>
        <v>0</v>
      </c>
      <c r="R35" s="17" t="str">
        <f t="shared" si="4"/>
        <v/>
      </c>
    </row>
    <row r="36" ht="48.0" customHeight="1">
      <c r="A36" s="10" t="s">
        <v>312</v>
      </c>
      <c r="B36" s="10" t="s">
        <v>144</v>
      </c>
      <c r="C36" s="10" t="s">
        <v>313</v>
      </c>
      <c r="D36" s="17">
        <f t="array" ref="D36">INDEX('60项标准'!$D$6:$D$65,MATCH(A36,'60项标准'!$A$6:$A$65,0))</f>
        <v>1</v>
      </c>
      <c r="E36" s="20"/>
      <c r="F36" s="20"/>
      <c r="G36" s="17" t="str">
        <f>IF(P36=1,ROUND(E36*'使用说明'!$B$5+F36*'使用说明'!$B$6,6),"")</f>
        <v/>
      </c>
      <c r="H36" s="17" t="str">
        <f t="shared" si="1"/>
        <v/>
      </c>
      <c r="I36" s="12"/>
      <c r="J36" s="12"/>
      <c r="K36" s="12"/>
      <c r="L36" s="12"/>
      <c r="M36" s="12"/>
      <c r="N36" s="12"/>
      <c r="O36" s="23"/>
      <c r="P36" s="13">
        <f t="shared" si="2"/>
        <v>0</v>
      </c>
      <c r="Q36" s="13">
        <f t="shared" si="3"/>
        <v>0</v>
      </c>
      <c r="R36" s="17" t="str">
        <f t="shared" si="4"/>
        <v/>
      </c>
    </row>
    <row r="37" ht="48.0" customHeight="1">
      <c r="A37" s="18" t="s">
        <v>319</v>
      </c>
      <c r="B37" s="18" t="s">
        <v>144</v>
      </c>
      <c r="C37" s="18" t="s">
        <v>320</v>
      </c>
      <c r="D37" s="26">
        <f t="array" ref="D37">INDEX('60项标准'!$D$6:$D$65,MATCH(A37,'60项标准'!$A$6:$A$65,0))</f>
        <v>1</v>
      </c>
      <c r="E37" s="20"/>
      <c r="F37" s="20"/>
      <c r="G37" s="17" t="str">
        <f>IF(P37=1,ROUND(E37*'使用说明'!$B$5+F37*'使用说明'!$B$6,6),"")</f>
        <v/>
      </c>
      <c r="H37" s="17" t="str">
        <f t="shared" si="1"/>
        <v/>
      </c>
      <c r="I37" s="12"/>
      <c r="J37" s="12"/>
      <c r="K37" s="12"/>
      <c r="L37" s="12"/>
      <c r="M37" s="12"/>
      <c r="N37" s="12"/>
      <c r="O37" s="23"/>
      <c r="P37" s="13">
        <f t="shared" si="2"/>
        <v>0</v>
      </c>
      <c r="Q37" s="13">
        <f t="shared" si="3"/>
        <v>0</v>
      </c>
      <c r="R37" s="17" t="str">
        <f t="shared" si="4"/>
        <v/>
      </c>
    </row>
    <row r="38" ht="48.0" customHeight="1">
      <c r="A38" s="10" t="s">
        <v>326</v>
      </c>
      <c r="B38" s="10" t="s">
        <v>144</v>
      </c>
      <c r="C38" s="10" t="s">
        <v>327</v>
      </c>
      <c r="D38" s="17">
        <f t="array" ref="D38">INDEX('60项标准'!$D$6:$D$65,MATCH(A38,'60项标准'!$A$6:$A$65,0))</f>
        <v>1</v>
      </c>
      <c r="E38" s="20"/>
      <c r="F38" s="20"/>
      <c r="G38" s="17" t="str">
        <f>IF(P38=1,ROUND(E38*'使用说明'!$B$5+F38*'使用说明'!$B$6,6),"")</f>
        <v/>
      </c>
      <c r="H38" s="17" t="str">
        <f t="shared" si="1"/>
        <v/>
      </c>
      <c r="I38" s="12"/>
      <c r="J38" s="12"/>
      <c r="K38" s="12"/>
      <c r="L38" s="12"/>
      <c r="M38" s="12"/>
      <c r="N38" s="12"/>
      <c r="O38" s="23"/>
      <c r="P38" s="13">
        <f t="shared" si="2"/>
        <v>0</v>
      </c>
      <c r="Q38" s="13">
        <f t="shared" si="3"/>
        <v>0</v>
      </c>
      <c r="R38" s="17" t="str">
        <f t="shared" si="4"/>
        <v/>
      </c>
    </row>
    <row r="39" ht="48.0" customHeight="1">
      <c r="A39" s="18" t="s">
        <v>333</v>
      </c>
      <c r="B39" s="18" t="s">
        <v>144</v>
      </c>
      <c r="C39" s="18" t="s">
        <v>334</v>
      </c>
      <c r="D39" s="26">
        <f t="array" ref="D39">INDEX('60项标准'!$D$6:$D$65,MATCH(A39,'60项标准'!$A$6:$A$65,0))</f>
        <v>1</v>
      </c>
      <c r="E39" s="20"/>
      <c r="F39" s="20"/>
      <c r="G39" s="17" t="str">
        <f>IF(P39=1,ROUND(E39*'使用说明'!$B$5+F39*'使用说明'!$B$6,6),"")</f>
        <v/>
      </c>
      <c r="H39" s="17" t="str">
        <f t="shared" si="1"/>
        <v/>
      </c>
      <c r="I39" s="12"/>
      <c r="J39" s="12"/>
      <c r="K39" s="12"/>
      <c r="L39" s="12"/>
      <c r="M39" s="12"/>
      <c r="N39" s="12"/>
      <c r="O39" s="23"/>
      <c r="P39" s="13">
        <f t="shared" si="2"/>
        <v>0</v>
      </c>
      <c r="Q39" s="13">
        <f t="shared" si="3"/>
        <v>0</v>
      </c>
      <c r="R39" s="17" t="str">
        <f t="shared" si="4"/>
        <v/>
      </c>
    </row>
    <row r="40" ht="48.0" customHeight="1">
      <c r="A40" s="10" t="s">
        <v>340</v>
      </c>
      <c r="B40" s="10" t="s">
        <v>144</v>
      </c>
      <c r="C40" s="10" t="s">
        <v>343</v>
      </c>
      <c r="D40" s="17">
        <f t="array" ref="D40">INDEX('60项标准'!$D$6:$D$65,MATCH(A40,'60项标准'!$A$6:$A$65,0))</f>
        <v>1</v>
      </c>
      <c r="E40" s="20"/>
      <c r="F40" s="20"/>
      <c r="G40" s="17" t="str">
        <f>IF(P40=1,ROUND(E40*'使用说明'!$B$5+F40*'使用说明'!$B$6,6),"")</f>
        <v/>
      </c>
      <c r="H40" s="17" t="str">
        <f t="shared" si="1"/>
        <v/>
      </c>
      <c r="I40" s="12"/>
      <c r="J40" s="12"/>
      <c r="K40" s="12"/>
      <c r="L40" s="12"/>
      <c r="M40" s="12"/>
      <c r="N40" s="12"/>
      <c r="O40" s="23"/>
      <c r="P40" s="13">
        <f t="shared" si="2"/>
        <v>0</v>
      </c>
      <c r="Q40" s="13">
        <f t="shared" si="3"/>
        <v>0</v>
      </c>
      <c r="R40" s="17" t="str">
        <f t="shared" si="4"/>
        <v/>
      </c>
    </row>
    <row r="41" ht="48.0" customHeight="1">
      <c r="A41" s="18" t="s">
        <v>349</v>
      </c>
      <c r="B41" s="18" t="s">
        <v>154</v>
      </c>
      <c r="C41" s="18" t="s">
        <v>350</v>
      </c>
      <c r="D41" s="26">
        <f t="array" ref="D41">INDEX('60项标准'!$D$6:$D$65,MATCH(A41,'60项标准'!$A$6:$A$65,0))</f>
        <v>2</v>
      </c>
      <c r="E41" s="20"/>
      <c r="F41" s="20"/>
      <c r="G41" s="17" t="str">
        <f>IF(P41=1,ROUND(E41*'使用说明'!$B$5+F41*'使用说明'!$B$6,6),"")</f>
        <v/>
      </c>
      <c r="H41" s="17" t="str">
        <f t="shared" si="1"/>
        <v/>
      </c>
      <c r="I41" s="12"/>
      <c r="J41" s="12"/>
      <c r="K41" s="12"/>
      <c r="L41" s="12"/>
      <c r="M41" s="12"/>
      <c r="N41" s="12"/>
      <c r="O41" s="23"/>
      <c r="P41" s="13">
        <f t="shared" si="2"/>
        <v>0</v>
      </c>
      <c r="Q41" s="13">
        <f t="shared" si="3"/>
        <v>0</v>
      </c>
      <c r="R41" s="17" t="str">
        <f t="shared" si="4"/>
        <v/>
      </c>
    </row>
    <row r="42" ht="48.0" customHeight="1">
      <c r="A42" s="10" t="s">
        <v>356</v>
      </c>
      <c r="B42" s="10" t="s">
        <v>154</v>
      </c>
      <c r="C42" s="10" t="s">
        <v>357</v>
      </c>
      <c r="D42" s="17">
        <f t="array" ref="D42">INDEX('60项标准'!$D$6:$D$65,MATCH(A42,'60项标准'!$A$6:$A$65,0))</f>
        <v>2</v>
      </c>
      <c r="E42" s="20"/>
      <c r="F42" s="20"/>
      <c r="G42" s="17" t="str">
        <f>IF(P42=1,ROUND(E42*'使用说明'!$B$5+F42*'使用说明'!$B$6,6),"")</f>
        <v/>
      </c>
      <c r="H42" s="17" t="str">
        <f t="shared" si="1"/>
        <v/>
      </c>
      <c r="I42" s="12"/>
      <c r="J42" s="12"/>
      <c r="K42" s="12"/>
      <c r="L42" s="12"/>
      <c r="M42" s="12"/>
      <c r="N42" s="12"/>
      <c r="O42" s="23"/>
      <c r="P42" s="13">
        <f t="shared" si="2"/>
        <v>0</v>
      </c>
      <c r="Q42" s="13">
        <f t="shared" si="3"/>
        <v>0</v>
      </c>
      <c r="R42" s="17" t="str">
        <f t="shared" si="4"/>
        <v/>
      </c>
    </row>
    <row r="43" ht="48.0" customHeight="1">
      <c r="A43" s="18" t="s">
        <v>383</v>
      </c>
      <c r="B43" s="18" t="s">
        <v>154</v>
      </c>
      <c r="C43" s="18" t="s">
        <v>385</v>
      </c>
      <c r="D43" s="26">
        <f t="array" ref="D43">INDEX('60项标准'!$D$6:$D$65,MATCH(A43,'60项标准'!$A$6:$A$65,0))</f>
        <v>2</v>
      </c>
      <c r="E43" s="20"/>
      <c r="F43" s="20"/>
      <c r="G43" s="17" t="str">
        <f>IF(P43=1,ROUND(E43*'使用说明'!$B$5+F43*'使用说明'!$B$6,6),"")</f>
        <v/>
      </c>
      <c r="H43" s="17" t="str">
        <f t="shared" si="1"/>
        <v/>
      </c>
      <c r="I43" s="12"/>
      <c r="J43" s="12"/>
      <c r="K43" s="12"/>
      <c r="L43" s="12"/>
      <c r="M43" s="12"/>
      <c r="N43" s="12"/>
      <c r="O43" s="23"/>
      <c r="P43" s="13">
        <f t="shared" si="2"/>
        <v>0</v>
      </c>
      <c r="Q43" s="13">
        <f t="shared" si="3"/>
        <v>0</v>
      </c>
      <c r="R43" s="17" t="str">
        <f t="shared" si="4"/>
        <v/>
      </c>
    </row>
    <row r="44" ht="48.0" customHeight="1">
      <c r="A44" s="10" t="s">
        <v>435</v>
      </c>
      <c r="B44" s="10" t="s">
        <v>154</v>
      </c>
      <c r="C44" s="10" t="s">
        <v>445</v>
      </c>
      <c r="D44" s="17">
        <f t="array" ref="D44">INDEX('60项标准'!$D$6:$D$65,MATCH(A44,'60项标准'!$A$6:$A$65,0))</f>
        <v>2</v>
      </c>
      <c r="E44" s="20"/>
      <c r="F44" s="20"/>
      <c r="G44" s="17" t="str">
        <f>IF(P44=1,ROUND(E44*'使用说明'!$B$5+F44*'使用说明'!$B$6,6),"")</f>
        <v/>
      </c>
      <c r="H44" s="17" t="str">
        <f t="shared" si="1"/>
        <v/>
      </c>
      <c r="I44" s="12"/>
      <c r="J44" s="12"/>
      <c r="K44" s="12"/>
      <c r="L44" s="12"/>
      <c r="M44" s="12"/>
      <c r="N44" s="12"/>
      <c r="O44" s="23"/>
      <c r="P44" s="13">
        <f t="shared" si="2"/>
        <v>0</v>
      </c>
      <c r="Q44" s="13">
        <f t="shared" si="3"/>
        <v>0</v>
      </c>
      <c r="R44" s="17" t="str">
        <f t="shared" si="4"/>
        <v/>
      </c>
    </row>
    <row r="45" ht="48.0" customHeight="1">
      <c r="A45" s="18" t="s">
        <v>463</v>
      </c>
      <c r="B45" s="18" t="s">
        <v>154</v>
      </c>
      <c r="C45" s="18" t="s">
        <v>464</v>
      </c>
      <c r="D45" s="26">
        <f t="array" ref="D45">INDEX('60项标准'!$D$6:$D$65,MATCH(A45,'60项标准'!$A$6:$A$65,0))</f>
        <v>2</v>
      </c>
      <c r="E45" s="20"/>
      <c r="F45" s="20"/>
      <c r="G45" s="17" t="str">
        <f>IF(P45=1,ROUND(E45*'使用说明'!$B$5+F45*'使用说明'!$B$6,6),"")</f>
        <v/>
      </c>
      <c r="H45" s="17" t="str">
        <f t="shared" si="1"/>
        <v/>
      </c>
      <c r="I45" s="12"/>
      <c r="J45" s="12"/>
      <c r="K45" s="12"/>
      <c r="L45" s="12"/>
      <c r="M45" s="12"/>
      <c r="N45" s="12"/>
      <c r="O45" s="23"/>
      <c r="P45" s="13">
        <f t="shared" si="2"/>
        <v>0</v>
      </c>
      <c r="Q45" s="13">
        <f t="shared" si="3"/>
        <v>0</v>
      </c>
      <c r="R45" s="17" t="str">
        <f t="shared" si="4"/>
        <v/>
      </c>
    </row>
    <row r="46" ht="48.0" customHeight="1">
      <c r="A46" s="10" t="s">
        <v>470</v>
      </c>
      <c r="B46" s="10" t="s">
        <v>163</v>
      </c>
      <c r="C46" s="10" t="s">
        <v>471</v>
      </c>
      <c r="D46" s="17">
        <f t="array" ref="D46">INDEX('60项标准'!$D$6:$D$65,MATCH(A46,'60项标准'!$A$6:$A$65,0))</f>
        <v>1.6</v>
      </c>
      <c r="E46" s="20"/>
      <c r="F46" s="20"/>
      <c r="G46" s="17" t="str">
        <f>IF(P46=1,ROUND(E46*'使用说明'!$B$5+F46*'使用说明'!$B$6,6),"")</f>
        <v/>
      </c>
      <c r="H46" s="17" t="str">
        <f t="shared" si="1"/>
        <v/>
      </c>
      <c r="I46" s="12"/>
      <c r="J46" s="12"/>
      <c r="K46" s="12"/>
      <c r="L46" s="12"/>
      <c r="M46" s="12"/>
      <c r="N46" s="12"/>
      <c r="O46" s="23"/>
      <c r="P46" s="13">
        <f t="shared" si="2"/>
        <v>0</v>
      </c>
      <c r="Q46" s="13">
        <f t="shared" si="3"/>
        <v>0</v>
      </c>
      <c r="R46" s="17" t="str">
        <f t="shared" si="4"/>
        <v/>
      </c>
    </row>
    <row r="47" ht="48.0" customHeight="1">
      <c r="A47" s="18" t="s">
        <v>477</v>
      </c>
      <c r="B47" s="18" t="s">
        <v>163</v>
      </c>
      <c r="C47" s="18" t="s">
        <v>478</v>
      </c>
      <c r="D47" s="26">
        <f t="array" ref="D47">INDEX('60项标准'!$D$6:$D$65,MATCH(A47,'60项标准'!$A$6:$A$65,0))</f>
        <v>1.6</v>
      </c>
      <c r="E47" s="20"/>
      <c r="F47" s="20"/>
      <c r="G47" s="17" t="str">
        <f>IF(P47=1,ROUND(E47*'使用说明'!$B$5+F47*'使用说明'!$B$6,6),"")</f>
        <v/>
      </c>
      <c r="H47" s="17" t="str">
        <f t="shared" si="1"/>
        <v/>
      </c>
      <c r="I47" s="12"/>
      <c r="J47" s="12"/>
      <c r="K47" s="12"/>
      <c r="L47" s="12"/>
      <c r="M47" s="12"/>
      <c r="N47" s="12"/>
      <c r="O47" s="23"/>
      <c r="P47" s="13">
        <f t="shared" si="2"/>
        <v>0</v>
      </c>
      <c r="Q47" s="13">
        <f t="shared" si="3"/>
        <v>0</v>
      </c>
      <c r="R47" s="17" t="str">
        <f t="shared" si="4"/>
        <v/>
      </c>
    </row>
    <row r="48" ht="48.0" customHeight="1">
      <c r="A48" s="10" t="s">
        <v>484</v>
      </c>
      <c r="B48" s="10" t="s">
        <v>163</v>
      </c>
      <c r="C48" s="10" t="s">
        <v>485</v>
      </c>
      <c r="D48" s="17">
        <f t="array" ref="D48">INDEX('60项标准'!$D$6:$D$65,MATCH(A48,'60项标准'!$A$6:$A$65,0))</f>
        <v>1.6</v>
      </c>
      <c r="E48" s="20"/>
      <c r="F48" s="20"/>
      <c r="G48" s="17" t="str">
        <f>IF(P48=1,ROUND(E48*'使用说明'!$B$5+F48*'使用说明'!$B$6,6),"")</f>
        <v/>
      </c>
      <c r="H48" s="17" t="str">
        <f t="shared" si="1"/>
        <v/>
      </c>
      <c r="I48" s="12"/>
      <c r="J48" s="12"/>
      <c r="K48" s="12"/>
      <c r="L48" s="12"/>
      <c r="M48" s="12"/>
      <c r="N48" s="12"/>
      <c r="O48" s="23"/>
      <c r="P48" s="13">
        <f t="shared" si="2"/>
        <v>0</v>
      </c>
      <c r="Q48" s="13">
        <f t="shared" si="3"/>
        <v>0</v>
      </c>
      <c r="R48" s="17" t="str">
        <f t="shared" si="4"/>
        <v/>
      </c>
    </row>
    <row r="49" ht="48.0" customHeight="1">
      <c r="A49" s="18" t="s">
        <v>491</v>
      </c>
      <c r="B49" s="18" t="s">
        <v>163</v>
      </c>
      <c r="C49" s="18" t="s">
        <v>492</v>
      </c>
      <c r="D49" s="26">
        <f t="array" ref="D49">INDEX('60项标准'!$D$6:$D$65,MATCH(A49,'60项标准'!$A$6:$A$65,0))</f>
        <v>1.6</v>
      </c>
      <c r="E49" s="20"/>
      <c r="F49" s="20"/>
      <c r="G49" s="17" t="str">
        <f>IF(P49=1,ROUND(E49*'使用说明'!$B$5+F49*'使用说明'!$B$6,6),"")</f>
        <v/>
      </c>
      <c r="H49" s="17" t="str">
        <f t="shared" si="1"/>
        <v/>
      </c>
      <c r="I49" s="12"/>
      <c r="J49" s="12"/>
      <c r="K49" s="12"/>
      <c r="L49" s="12"/>
      <c r="M49" s="12"/>
      <c r="N49" s="12"/>
      <c r="O49" s="23"/>
      <c r="P49" s="13">
        <f t="shared" si="2"/>
        <v>0</v>
      </c>
      <c r="Q49" s="13">
        <f t="shared" si="3"/>
        <v>0</v>
      </c>
      <c r="R49" s="17" t="str">
        <f t="shared" si="4"/>
        <v/>
      </c>
    </row>
    <row r="50" ht="48.0" customHeight="1">
      <c r="A50" s="10" t="s">
        <v>498</v>
      </c>
      <c r="B50" s="10" t="s">
        <v>163</v>
      </c>
      <c r="C50" s="10" t="s">
        <v>499</v>
      </c>
      <c r="D50" s="17">
        <f t="array" ref="D50">INDEX('60项标准'!$D$6:$D$65,MATCH(A50,'60项标准'!$A$6:$A$65,0))</f>
        <v>1.6</v>
      </c>
      <c r="E50" s="20"/>
      <c r="F50" s="20"/>
      <c r="G50" s="17" t="str">
        <f>IF(P50=1,ROUND(E50*'使用说明'!$B$5+F50*'使用说明'!$B$6,6),"")</f>
        <v/>
      </c>
      <c r="H50" s="17" t="str">
        <f t="shared" si="1"/>
        <v/>
      </c>
      <c r="I50" s="12"/>
      <c r="J50" s="12"/>
      <c r="K50" s="12"/>
      <c r="L50" s="12"/>
      <c r="M50" s="12"/>
      <c r="N50" s="12"/>
      <c r="O50" s="23"/>
      <c r="P50" s="13">
        <f t="shared" si="2"/>
        <v>0</v>
      </c>
      <c r="Q50" s="13">
        <f t="shared" si="3"/>
        <v>0</v>
      </c>
      <c r="R50" s="17" t="str">
        <f t="shared" si="4"/>
        <v/>
      </c>
    </row>
    <row r="51" ht="48.0" customHeight="1">
      <c r="A51" s="18" t="s">
        <v>505</v>
      </c>
      <c r="B51" s="18" t="s">
        <v>173</v>
      </c>
      <c r="C51" s="18" t="s">
        <v>506</v>
      </c>
      <c r="D51" s="26">
        <f t="array" ref="D51">INDEX('60项标准'!$D$6:$D$65,MATCH(A51,'60项标准'!$A$6:$A$65,0))</f>
        <v>2</v>
      </c>
      <c r="E51" s="20"/>
      <c r="F51" s="20"/>
      <c r="G51" s="17" t="str">
        <f>IF(P51=1,ROUND(E51*'使用说明'!$B$5+F51*'使用说明'!$B$6,6),"")</f>
        <v/>
      </c>
      <c r="H51" s="17" t="str">
        <f t="shared" si="1"/>
        <v/>
      </c>
      <c r="I51" s="12"/>
      <c r="J51" s="12"/>
      <c r="K51" s="12"/>
      <c r="L51" s="12"/>
      <c r="M51" s="12"/>
      <c r="N51" s="12"/>
      <c r="O51" s="23"/>
      <c r="P51" s="13">
        <f t="shared" si="2"/>
        <v>0</v>
      </c>
      <c r="Q51" s="13">
        <f t="shared" si="3"/>
        <v>0</v>
      </c>
      <c r="R51" s="17" t="str">
        <f t="shared" si="4"/>
        <v/>
      </c>
    </row>
    <row r="52" ht="48.0" customHeight="1">
      <c r="A52" s="10" t="s">
        <v>512</v>
      </c>
      <c r="B52" s="10" t="s">
        <v>173</v>
      </c>
      <c r="C52" s="10" t="s">
        <v>513</v>
      </c>
      <c r="D52" s="17">
        <f t="array" ref="D52">INDEX('60项标准'!$D$6:$D$65,MATCH(A52,'60项标准'!$A$6:$A$65,0))</f>
        <v>2</v>
      </c>
      <c r="E52" s="20"/>
      <c r="F52" s="20"/>
      <c r="G52" s="17" t="str">
        <f>IF(P52=1,ROUND(E52*'使用说明'!$B$5+F52*'使用说明'!$B$6,6),"")</f>
        <v/>
      </c>
      <c r="H52" s="17" t="str">
        <f t="shared" si="1"/>
        <v/>
      </c>
      <c r="I52" s="12"/>
      <c r="J52" s="12"/>
      <c r="K52" s="12"/>
      <c r="L52" s="12"/>
      <c r="M52" s="12"/>
      <c r="N52" s="12"/>
      <c r="O52" s="23"/>
      <c r="P52" s="13">
        <f t="shared" si="2"/>
        <v>0</v>
      </c>
      <c r="Q52" s="13">
        <f t="shared" si="3"/>
        <v>0</v>
      </c>
      <c r="R52" s="17" t="str">
        <f t="shared" si="4"/>
        <v/>
      </c>
    </row>
    <row r="53" ht="48.0" customHeight="1">
      <c r="A53" s="18" t="s">
        <v>519</v>
      </c>
      <c r="B53" s="18" t="s">
        <v>173</v>
      </c>
      <c r="C53" s="18" t="s">
        <v>520</v>
      </c>
      <c r="D53" s="26">
        <f t="array" ref="D53">INDEX('60项标准'!$D$6:$D$65,MATCH(A53,'60项标准'!$A$6:$A$65,0))</f>
        <v>2</v>
      </c>
      <c r="E53" s="20"/>
      <c r="F53" s="20"/>
      <c r="G53" s="17" t="str">
        <f>IF(P53=1,ROUND(E53*'使用说明'!$B$5+F53*'使用说明'!$B$6,6),"")</f>
        <v/>
      </c>
      <c r="H53" s="17" t="str">
        <f t="shared" si="1"/>
        <v/>
      </c>
      <c r="I53" s="12"/>
      <c r="J53" s="12"/>
      <c r="K53" s="12"/>
      <c r="L53" s="12"/>
      <c r="M53" s="12"/>
      <c r="N53" s="12"/>
      <c r="O53" s="23"/>
      <c r="P53" s="13">
        <f t="shared" si="2"/>
        <v>0</v>
      </c>
      <c r="Q53" s="13">
        <f t="shared" si="3"/>
        <v>0</v>
      </c>
      <c r="R53" s="17" t="str">
        <f t="shared" si="4"/>
        <v/>
      </c>
    </row>
    <row r="54" ht="48.0" customHeight="1">
      <c r="A54" s="10" t="s">
        <v>526</v>
      </c>
      <c r="B54" s="10" t="s">
        <v>173</v>
      </c>
      <c r="C54" s="10" t="s">
        <v>527</v>
      </c>
      <c r="D54" s="17">
        <f t="array" ref="D54">INDEX('60项标准'!$D$6:$D$65,MATCH(A54,'60项标准'!$A$6:$A$65,0))</f>
        <v>2</v>
      </c>
      <c r="E54" s="20"/>
      <c r="F54" s="20"/>
      <c r="G54" s="17" t="str">
        <f>IF(P54=1,ROUND(E54*'使用说明'!$B$5+F54*'使用说明'!$B$6,6),"")</f>
        <v/>
      </c>
      <c r="H54" s="17" t="str">
        <f t="shared" si="1"/>
        <v/>
      </c>
      <c r="I54" s="12"/>
      <c r="J54" s="12"/>
      <c r="K54" s="12"/>
      <c r="L54" s="12"/>
      <c r="M54" s="12"/>
      <c r="N54" s="12"/>
      <c r="O54" s="23"/>
      <c r="P54" s="13">
        <f t="shared" si="2"/>
        <v>0</v>
      </c>
      <c r="Q54" s="13">
        <f t="shared" si="3"/>
        <v>0</v>
      </c>
      <c r="R54" s="17" t="str">
        <f t="shared" si="4"/>
        <v/>
      </c>
    </row>
    <row r="55" ht="48.0" customHeight="1">
      <c r="A55" s="18" t="s">
        <v>533</v>
      </c>
      <c r="B55" s="18" t="s">
        <v>173</v>
      </c>
      <c r="C55" s="18" t="s">
        <v>534</v>
      </c>
      <c r="D55" s="26">
        <f t="array" ref="D55">INDEX('60项标准'!$D$6:$D$65,MATCH(A55,'60项标准'!$A$6:$A$65,0))</f>
        <v>2</v>
      </c>
      <c r="E55" s="20"/>
      <c r="F55" s="20"/>
      <c r="G55" s="17" t="str">
        <f>IF(P55=1,ROUND(E55*'使用说明'!$B$5+F55*'使用说明'!$B$6,6),"")</f>
        <v/>
      </c>
      <c r="H55" s="17" t="str">
        <f t="shared" si="1"/>
        <v/>
      </c>
      <c r="I55" s="12"/>
      <c r="J55" s="12"/>
      <c r="K55" s="12"/>
      <c r="L55" s="12"/>
      <c r="M55" s="12"/>
      <c r="N55" s="12"/>
      <c r="O55" s="23"/>
      <c r="P55" s="13">
        <f t="shared" si="2"/>
        <v>0</v>
      </c>
      <c r="Q55" s="13">
        <f t="shared" si="3"/>
        <v>0</v>
      </c>
      <c r="R55" s="17" t="str">
        <f t="shared" si="4"/>
        <v/>
      </c>
    </row>
    <row r="56" ht="48.0" customHeight="1">
      <c r="A56" s="10" t="s">
        <v>540</v>
      </c>
      <c r="B56" s="10" t="s">
        <v>188</v>
      </c>
      <c r="C56" s="10" t="s">
        <v>541</v>
      </c>
      <c r="D56" s="17">
        <f t="array" ref="D56">INDEX('60项标准'!$D$6:$D$65,MATCH(A56,'60项标准'!$A$6:$A$65,0))</f>
        <v>1.2</v>
      </c>
      <c r="E56" s="20"/>
      <c r="F56" s="20"/>
      <c r="G56" s="17" t="str">
        <f>IF(P56=1,ROUND(E56*'使用说明'!$B$5+F56*'使用说明'!$B$6,6),"")</f>
        <v/>
      </c>
      <c r="H56" s="17" t="str">
        <f t="shared" si="1"/>
        <v/>
      </c>
      <c r="I56" s="12"/>
      <c r="J56" s="12"/>
      <c r="K56" s="12"/>
      <c r="L56" s="12"/>
      <c r="M56" s="12"/>
      <c r="N56" s="12"/>
      <c r="O56" s="23"/>
      <c r="P56" s="13">
        <f t="shared" si="2"/>
        <v>0</v>
      </c>
      <c r="Q56" s="13">
        <f t="shared" si="3"/>
        <v>0</v>
      </c>
      <c r="R56" s="17" t="str">
        <f t="shared" si="4"/>
        <v/>
      </c>
    </row>
    <row r="57" ht="48.0" customHeight="1">
      <c r="A57" s="18" t="s">
        <v>547</v>
      </c>
      <c r="B57" s="18" t="s">
        <v>188</v>
      </c>
      <c r="C57" s="18" t="s">
        <v>548</v>
      </c>
      <c r="D57" s="26">
        <f t="array" ref="D57">INDEX('60项标准'!$D$6:$D$65,MATCH(A57,'60项标准'!$A$6:$A$65,0))</f>
        <v>1.2</v>
      </c>
      <c r="E57" s="20"/>
      <c r="F57" s="20"/>
      <c r="G57" s="17" t="str">
        <f>IF(P57=1,ROUND(E57*'使用说明'!$B$5+F57*'使用说明'!$B$6,6),"")</f>
        <v/>
      </c>
      <c r="H57" s="17" t="str">
        <f t="shared" si="1"/>
        <v/>
      </c>
      <c r="I57" s="12"/>
      <c r="J57" s="12"/>
      <c r="K57" s="12"/>
      <c r="L57" s="12"/>
      <c r="M57" s="12"/>
      <c r="N57" s="12"/>
      <c r="O57" s="23"/>
      <c r="P57" s="13">
        <f t="shared" si="2"/>
        <v>0</v>
      </c>
      <c r="Q57" s="13">
        <f t="shared" si="3"/>
        <v>0</v>
      </c>
      <c r="R57" s="17" t="str">
        <f t="shared" si="4"/>
        <v/>
      </c>
    </row>
    <row r="58" ht="48.0" customHeight="1">
      <c r="A58" s="10" t="s">
        <v>554</v>
      </c>
      <c r="B58" s="10" t="s">
        <v>188</v>
      </c>
      <c r="C58" s="10" t="s">
        <v>555</v>
      </c>
      <c r="D58" s="17">
        <f t="array" ref="D58">INDEX('60项标准'!$D$6:$D$65,MATCH(A58,'60项标准'!$A$6:$A$65,0))</f>
        <v>1.2</v>
      </c>
      <c r="E58" s="20"/>
      <c r="F58" s="20"/>
      <c r="G58" s="17" t="str">
        <f>IF(P58=1,ROUND(E58*'使用说明'!$B$5+F58*'使用说明'!$B$6,6),"")</f>
        <v/>
      </c>
      <c r="H58" s="17" t="str">
        <f t="shared" si="1"/>
        <v/>
      </c>
      <c r="I58" s="12"/>
      <c r="J58" s="12"/>
      <c r="K58" s="12"/>
      <c r="L58" s="12"/>
      <c r="M58" s="12"/>
      <c r="N58" s="12"/>
      <c r="O58" s="23"/>
      <c r="P58" s="13">
        <f t="shared" si="2"/>
        <v>0</v>
      </c>
      <c r="Q58" s="13">
        <f t="shared" si="3"/>
        <v>0</v>
      </c>
      <c r="R58" s="17" t="str">
        <f t="shared" si="4"/>
        <v/>
      </c>
    </row>
    <row r="59" ht="48.0" customHeight="1">
      <c r="A59" s="18" t="s">
        <v>561</v>
      </c>
      <c r="B59" s="18" t="s">
        <v>188</v>
      </c>
      <c r="C59" s="18" t="s">
        <v>562</v>
      </c>
      <c r="D59" s="26">
        <f t="array" ref="D59">INDEX('60项标准'!$D$6:$D$65,MATCH(A59,'60项标准'!$A$6:$A$65,0))</f>
        <v>1.2</v>
      </c>
      <c r="E59" s="20"/>
      <c r="F59" s="20"/>
      <c r="G59" s="17" t="str">
        <f>IF(P59=1,ROUND(E59*'使用说明'!$B$5+F59*'使用说明'!$B$6,6),"")</f>
        <v/>
      </c>
      <c r="H59" s="17" t="str">
        <f t="shared" si="1"/>
        <v/>
      </c>
      <c r="I59" s="12"/>
      <c r="J59" s="12"/>
      <c r="K59" s="12"/>
      <c r="L59" s="12"/>
      <c r="M59" s="12"/>
      <c r="N59" s="12"/>
      <c r="O59" s="23"/>
      <c r="P59" s="13">
        <f t="shared" si="2"/>
        <v>0</v>
      </c>
      <c r="Q59" s="13">
        <f t="shared" si="3"/>
        <v>0</v>
      </c>
      <c r="R59" s="17" t="str">
        <f t="shared" si="4"/>
        <v/>
      </c>
    </row>
    <row r="60" ht="48.0" customHeight="1">
      <c r="A60" s="10" t="s">
        <v>568</v>
      </c>
      <c r="B60" s="10" t="s">
        <v>188</v>
      </c>
      <c r="C60" s="10" t="s">
        <v>569</v>
      </c>
      <c r="D60" s="17">
        <f t="array" ref="D60">INDEX('60项标准'!$D$6:$D$65,MATCH(A60,'60项标准'!$A$6:$A$65,0))</f>
        <v>1.2</v>
      </c>
      <c r="E60" s="20"/>
      <c r="F60" s="20"/>
      <c r="G60" s="17" t="str">
        <f>IF(P60=1,ROUND(E60*'使用说明'!$B$5+F60*'使用说明'!$B$6,6),"")</f>
        <v/>
      </c>
      <c r="H60" s="17" t="str">
        <f t="shared" si="1"/>
        <v/>
      </c>
      <c r="I60" s="12"/>
      <c r="J60" s="12"/>
      <c r="K60" s="12"/>
      <c r="L60" s="12"/>
      <c r="M60" s="12"/>
      <c r="N60" s="12"/>
      <c r="O60" s="23"/>
      <c r="P60" s="13">
        <f t="shared" si="2"/>
        <v>0</v>
      </c>
      <c r="Q60" s="13">
        <f t="shared" si="3"/>
        <v>0</v>
      </c>
      <c r="R60" s="17" t="str">
        <f t="shared" si="4"/>
        <v/>
      </c>
    </row>
    <row r="61" ht="48.0" customHeight="1">
      <c r="A61" s="18" t="s">
        <v>575</v>
      </c>
      <c r="B61" s="18" t="s">
        <v>201</v>
      </c>
      <c r="C61" s="18" t="s">
        <v>576</v>
      </c>
      <c r="D61" s="26">
        <f t="array" ref="D61">INDEX('60项标准'!$D$6:$D$65,MATCH(A61,'60项标准'!$A$6:$A$65,0))</f>
        <v>1</v>
      </c>
      <c r="E61" s="20"/>
      <c r="F61" s="20"/>
      <c r="G61" s="17" t="str">
        <f>IF(P61=1,ROUND(E61*'使用说明'!$B$5+F61*'使用说明'!$B$6,6),"")</f>
        <v/>
      </c>
      <c r="H61" s="17" t="str">
        <f t="shared" si="1"/>
        <v/>
      </c>
      <c r="I61" s="12"/>
      <c r="J61" s="12"/>
      <c r="K61" s="12"/>
      <c r="L61" s="12"/>
      <c r="M61" s="12"/>
      <c r="N61" s="12"/>
      <c r="O61" s="23"/>
      <c r="P61" s="13">
        <f t="shared" si="2"/>
        <v>0</v>
      </c>
      <c r="Q61" s="13">
        <f t="shared" si="3"/>
        <v>0</v>
      </c>
      <c r="R61" s="17" t="str">
        <f t="shared" si="4"/>
        <v/>
      </c>
    </row>
    <row r="62" ht="48.0" customHeight="1">
      <c r="A62" s="10" t="s">
        <v>582</v>
      </c>
      <c r="B62" s="10" t="s">
        <v>201</v>
      </c>
      <c r="C62" s="10" t="s">
        <v>583</v>
      </c>
      <c r="D62" s="17">
        <f t="array" ref="D62">INDEX('60项标准'!$D$6:$D$65,MATCH(A62,'60项标准'!$A$6:$A$65,0))</f>
        <v>1</v>
      </c>
      <c r="E62" s="20"/>
      <c r="F62" s="20"/>
      <c r="G62" s="17" t="str">
        <f>IF(P62=1,ROUND(E62*'使用说明'!$B$5+F62*'使用说明'!$B$6,6),"")</f>
        <v/>
      </c>
      <c r="H62" s="17" t="str">
        <f t="shared" si="1"/>
        <v/>
      </c>
      <c r="I62" s="12"/>
      <c r="J62" s="12"/>
      <c r="K62" s="12"/>
      <c r="L62" s="12"/>
      <c r="M62" s="12"/>
      <c r="N62" s="12"/>
      <c r="O62" s="23"/>
      <c r="P62" s="13">
        <f t="shared" si="2"/>
        <v>0</v>
      </c>
      <c r="Q62" s="13">
        <f t="shared" si="3"/>
        <v>0</v>
      </c>
      <c r="R62" s="17" t="str">
        <f t="shared" si="4"/>
        <v/>
      </c>
    </row>
    <row r="63" ht="48.0" customHeight="1">
      <c r="A63" s="18" t="s">
        <v>589</v>
      </c>
      <c r="B63" s="18" t="s">
        <v>201</v>
      </c>
      <c r="C63" s="18" t="s">
        <v>590</v>
      </c>
      <c r="D63" s="26">
        <f t="array" ref="D63">INDEX('60项标准'!$D$6:$D$65,MATCH(A63,'60项标准'!$A$6:$A$65,0))</f>
        <v>1</v>
      </c>
      <c r="E63" s="20"/>
      <c r="F63" s="20"/>
      <c r="G63" s="17" t="str">
        <f>IF(P63=1,ROUND(E63*'使用说明'!$B$5+F63*'使用说明'!$B$6,6),"")</f>
        <v/>
      </c>
      <c r="H63" s="17" t="str">
        <f t="shared" si="1"/>
        <v/>
      </c>
      <c r="I63" s="12"/>
      <c r="J63" s="12"/>
      <c r="K63" s="12"/>
      <c r="L63" s="12"/>
      <c r="M63" s="12"/>
      <c r="N63" s="12"/>
      <c r="O63" s="23"/>
      <c r="P63" s="13">
        <f t="shared" si="2"/>
        <v>0</v>
      </c>
      <c r="Q63" s="13">
        <f t="shared" si="3"/>
        <v>0</v>
      </c>
      <c r="R63" s="17" t="str">
        <f t="shared" si="4"/>
        <v/>
      </c>
    </row>
    <row r="64" ht="48.0" customHeight="1">
      <c r="A64" s="10" t="s">
        <v>596</v>
      </c>
      <c r="B64" s="10" t="s">
        <v>201</v>
      </c>
      <c r="C64" s="10" t="s">
        <v>597</v>
      </c>
      <c r="D64" s="17">
        <f t="array" ref="D64">INDEX('60项标准'!$D$6:$D$65,MATCH(A64,'60项标准'!$A$6:$A$65,0))</f>
        <v>1</v>
      </c>
      <c r="E64" s="20"/>
      <c r="F64" s="20"/>
      <c r="G64" s="17" t="str">
        <f>IF(P64=1,ROUND(E64*'使用说明'!$B$5+F64*'使用说明'!$B$6,6),"")</f>
        <v/>
      </c>
      <c r="H64" s="17" t="str">
        <f t="shared" si="1"/>
        <v/>
      </c>
      <c r="I64" s="12"/>
      <c r="J64" s="12"/>
      <c r="K64" s="12"/>
      <c r="L64" s="12"/>
      <c r="M64" s="12"/>
      <c r="N64" s="12"/>
      <c r="O64" s="23"/>
      <c r="P64" s="13">
        <f t="shared" si="2"/>
        <v>0</v>
      </c>
      <c r="Q64" s="13">
        <f t="shared" si="3"/>
        <v>0</v>
      </c>
      <c r="R64" s="17" t="str">
        <f t="shared" si="4"/>
        <v/>
      </c>
    </row>
    <row r="65" ht="48.0" customHeight="1">
      <c r="A65" s="18" t="s">
        <v>603</v>
      </c>
      <c r="B65" s="18" t="s">
        <v>201</v>
      </c>
      <c r="C65" s="18" t="s">
        <v>604</v>
      </c>
      <c r="D65" s="26">
        <f t="array" ref="D65">INDEX('60项标准'!$D$6:$D$65,MATCH(A65,'60项标准'!$A$6:$A$65,0))</f>
        <v>1</v>
      </c>
      <c r="E65" s="20"/>
      <c r="F65" s="20"/>
      <c r="G65" s="17" t="str">
        <f>IF(P65=1,ROUND(E65*'使用说明'!$B$5+F65*'使用说明'!$B$6,6),"")</f>
        <v/>
      </c>
      <c r="H65" s="17" t="str">
        <f t="shared" si="1"/>
        <v/>
      </c>
      <c r="I65" s="12"/>
      <c r="J65" s="12"/>
      <c r="K65" s="12"/>
      <c r="L65" s="12"/>
      <c r="M65" s="12"/>
      <c r="N65" s="12"/>
      <c r="O65" s="23"/>
      <c r="P65" s="13">
        <f t="shared" si="2"/>
        <v>0</v>
      </c>
      <c r="Q65" s="13">
        <f t="shared" si="3"/>
        <v>0</v>
      </c>
      <c r="R65" s="17" t="str">
        <f t="shared" si="4"/>
        <v/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6:F65">
    <cfRule type="expression" dxfId="4" priority="1">
      <formula>AND(ISNUMBER(E6),OR(E6&lt;0,E6&gt;5))</formula>
    </cfRule>
  </conditionalFormatting>
  <conditionalFormatting sqref="G6:G65">
    <cfRule type="expression" dxfId="4" priority="2">
      <formula>AND(ISNUMBER(G6),G6&lt;3)</formula>
    </cfRule>
  </conditionalFormatting>
  <conditionalFormatting sqref="I6:I65">
    <cfRule type="containsText" dxfId="4" priority="3" operator="containsText" text="证据不足">
      <formula>NOT(ISERROR(SEARCH(("证据不足"),(I6))))</formula>
    </cfRule>
  </conditionalFormatting>
  <dataValidations>
    <dataValidation type="list" allowBlank="1" sqref="I6:I65">
      <formula1>"待核验,已核验,证据不足"</formula1>
    </dataValidation>
    <dataValidation type="decimal" allowBlank="1" sqref="E6:F65 O6:O65">
      <formula1>0.0</formula1>
      <formula2>5.0</formula2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7.75"/>
    <col customWidth="1" min="2" max="2" width="20.0"/>
    <col customWidth="1" min="3" max="3" width="25.0"/>
    <col customWidth="1" min="4" max="4" width="11.0"/>
    <col customWidth="1" min="5" max="6" width="38.75"/>
    <col customWidth="1" min="7" max="7" width="41.25"/>
    <col customWidth="1" min="8" max="8" width="44.38"/>
    <col customWidth="1" min="9" max="9" width="36.25"/>
    <col customWidth="1" min="10" max="10" width="38.75"/>
    <col customWidth="1" min="11" max="26" width="8.63"/>
  </cols>
  <sheetData>
    <row r="1" ht="27.7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33.75" customHeight="1">
      <c r="A2" s="2" t="s">
        <v>9</v>
      </c>
      <c r="B2" s="1"/>
      <c r="C2" s="1"/>
      <c r="D2" s="1"/>
      <c r="E2" s="1"/>
      <c r="F2" s="1"/>
      <c r="G2" s="1"/>
      <c r="H2" s="1"/>
      <c r="I2" s="1"/>
      <c r="J2" s="1"/>
    </row>
    <row r="3" ht="9.0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ht="27.75" customHeight="1">
      <c r="A4" s="7" t="s">
        <v>14</v>
      </c>
      <c r="B4" s="1"/>
      <c r="C4" s="1"/>
      <c r="D4" s="1"/>
      <c r="E4" s="1"/>
      <c r="F4" s="1"/>
      <c r="G4" s="1"/>
      <c r="H4" s="1"/>
      <c r="I4" s="1"/>
      <c r="J4" s="1"/>
    </row>
    <row r="5" ht="37.5" customHeight="1">
      <c r="A5" s="8" t="s">
        <v>15</v>
      </c>
      <c r="B5" s="8" t="s">
        <v>18</v>
      </c>
      <c r="C5" s="8" t="s">
        <v>20</v>
      </c>
      <c r="D5" s="8" t="s">
        <v>22</v>
      </c>
      <c r="E5" s="8" t="s">
        <v>25</v>
      </c>
      <c r="F5" s="8" t="s">
        <v>30</v>
      </c>
      <c r="G5" s="8" t="s">
        <v>33</v>
      </c>
      <c r="H5" s="8" t="s">
        <v>36</v>
      </c>
      <c r="I5" s="8" t="s">
        <v>39</v>
      </c>
      <c r="J5" s="8" t="s">
        <v>42</v>
      </c>
    </row>
    <row r="6" ht="63.75" customHeight="1">
      <c r="A6" s="10" t="s">
        <v>47</v>
      </c>
      <c r="B6" s="10" t="s">
        <v>52</v>
      </c>
      <c r="C6" s="10" t="s">
        <v>53</v>
      </c>
      <c r="D6" s="13">
        <v>1.2</v>
      </c>
      <c r="E6" s="10" t="s">
        <v>57</v>
      </c>
      <c r="F6" s="10" t="s">
        <v>58</v>
      </c>
      <c r="G6" s="10" t="s">
        <v>64</v>
      </c>
      <c r="H6" s="10" t="s">
        <v>55</v>
      </c>
      <c r="I6" s="10" t="s">
        <v>66</v>
      </c>
      <c r="J6" s="10" t="s">
        <v>67</v>
      </c>
    </row>
    <row r="7" ht="63.75" customHeight="1">
      <c r="A7" s="18" t="s">
        <v>68</v>
      </c>
      <c r="B7" s="18" t="s">
        <v>52</v>
      </c>
      <c r="C7" s="18" t="s">
        <v>69</v>
      </c>
      <c r="D7" s="21">
        <v>1.2</v>
      </c>
      <c r="E7" s="18" t="s">
        <v>71</v>
      </c>
      <c r="F7" s="18" t="s">
        <v>72</v>
      </c>
      <c r="G7" s="18" t="s">
        <v>73</v>
      </c>
      <c r="H7" s="18" t="s">
        <v>70</v>
      </c>
      <c r="I7" s="18" t="s">
        <v>74</v>
      </c>
      <c r="J7" s="18" t="s">
        <v>67</v>
      </c>
    </row>
    <row r="8" ht="63.75" customHeight="1">
      <c r="A8" s="10" t="s">
        <v>75</v>
      </c>
      <c r="B8" s="10" t="s">
        <v>52</v>
      </c>
      <c r="C8" s="10" t="s">
        <v>76</v>
      </c>
      <c r="D8" s="13">
        <v>1.2</v>
      </c>
      <c r="E8" s="10" t="s">
        <v>78</v>
      </c>
      <c r="F8" s="10" t="s">
        <v>79</v>
      </c>
      <c r="G8" s="10" t="s">
        <v>80</v>
      </c>
      <c r="H8" s="10" t="s">
        <v>77</v>
      </c>
      <c r="I8" s="10" t="s">
        <v>82</v>
      </c>
      <c r="J8" s="10" t="s">
        <v>67</v>
      </c>
    </row>
    <row r="9" ht="63.75" customHeight="1">
      <c r="A9" s="18" t="s">
        <v>81</v>
      </c>
      <c r="B9" s="18" t="s">
        <v>52</v>
      </c>
      <c r="C9" s="18" t="s">
        <v>83</v>
      </c>
      <c r="D9" s="21">
        <v>1.2</v>
      </c>
      <c r="E9" s="18" t="s">
        <v>87</v>
      </c>
      <c r="F9" s="18" t="s">
        <v>88</v>
      </c>
      <c r="G9" s="18" t="s">
        <v>89</v>
      </c>
      <c r="H9" s="18" t="s">
        <v>84</v>
      </c>
      <c r="I9" s="18" t="s">
        <v>91</v>
      </c>
      <c r="J9" s="18" t="s">
        <v>67</v>
      </c>
    </row>
    <row r="10" ht="63.75" customHeight="1">
      <c r="A10" s="10" t="s">
        <v>90</v>
      </c>
      <c r="B10" s="10" t="s">
        <v>52</v>
      </c>
      <c r="C10" s="10" t="s">
        <v>92</v>
      </c>
      <c r="D10" s="13">
        <v>1.2</v>
      </c>
      <c r="E10" s="10" t="s">
        <v>94</v>
      </c>
      <c r="F10" s="10" t="s">
        <v>95</v>
      </c>
      <c r="G10" s="10" t="s">
        <v>96</v>
      </c>
      <c r="H10" s="10" t="s">
        <v>93</v>
      </c>
      <c r="I10" s="10" t="s">
        <v>101</v>
      </c>
      <c r="J10" s="10" t="s">
        <v>67</v>
      </c>
    </row>
    <row r="11" ht="63.75" customHeight="1">
      <c r="A11" s="18" t="s">
        <v>97</v>
      </c>
      <c r="B11" s="18" t="s">
        <v>86</v>
      </c>
      <c r="C11" s="18" t="s">
        <v>100</v>
      </c>
      <c r="D11" s="21">
        <v>2.4</v>
      </c>
      <c r="E11" s="18" t="s">
        <v>103</v>
      </c>
      <c r="F11" s="18" t="s">
        <v>104</v>
      </c>
      <c r="G11" s="18" t="s">
        <v>106</v>
      </c>
      <c r="H11" s="18" t="s">
        <v>102</v>
      </c>
      <c r="I11" s="18" t="s">
        <v>108</v>
      </c>
      <c r="J11" s="18" t="s">
        <v>67</v>
      </c>
    </row>
    <row r="12" ht="63.75" customHeight="1">
      <c r="A12" s="10" t="s">
        <v>105</v>
      </c>
      <c r="B12" s="10" t="s">
        <v>86</v>
      </c>
      <c r="C12" s="10" t="s">
        <v>107</v>
      </c>
      <c r="D12" s="13">
        <v>2.4</v>
      </c>
      <c r="E12" s="10" t="s">
        <v>112</v>
      </c>
      <c r="F12" s="10" t="s">
        <v>113</v>
      </c>
      <c r="G12" s="10" t="s">
        <v>116</v>
      </c>
      <c r="H12" s="10" t="s">
        <v>109</v>
      </c>
      <c r="I12" s="10" t="s">
        <v>118</v>
      </c>
      <c r="J12" s="10" t="s">
        <v>67</v>
      </c>
    </row>
    <row r="13" ht="63.75" customHeight="1">
      <c r="A13" s="18" t="s">
        <v>114</v>
      </c>
      <c r="B13" s="18" t="s">
        <v>86</v>
      </c>
      <c r="C13" s="18" t="s">
        <v>115</v>
      </c>
      <c r="D13" s="21">
        <v>2.4</v>
      </c>
      <c r="E13" s="18" t="s">
        <v>122</v>
      </c>
      <c r="F13" s="18" t="s">
        <v>123</v>
      </c>
      <c r="G13" s="18" t="s">
        <v>125</v>
      </c>
      <c r="H13" s="18" t="s">
        <v>117</v>
      </c>
      <c r="I13" s="18" t="s">
        <v>127</v>
      </c>
      <c r="J13" s="18" t="s">
        <v>67</v>
      </c>
    </row>
    <row r="14" ht="63.75" customHeight="1">
      <c r="A14" s="10" t="s">
        <v>121</v>
      </c>
      <c r="B14" s="10" t="s">
        <v>86</v>
      </c>
      <c r="C14" s="10" t="s">
        <v>124</v>
      </c>
      <c r="D14" s="13">
        <v>2.4</v>
      </c>
      <c r="E14" s="10" t="s">
        <v>131</v>
      </c>
      <c r="F14" s="10" t="s">
        <v>132</v>
      </c>
      <c r="G14" s="10" t="s">
        <v>135</v>
      </c>
      <c r="H14" s="10" t="s">
        <v>126</v>
      </c>
      <c r="I14" s="10" t="s">
        <v>136</v>
      </c>
      <c r="J14" s="10" t="s">
        <v>67</v>
      </c>
    </row>
    <row r="15" ht="63.75" customHeight="1">
      <c r="A15" s="18" t="s">
        <v>128</v>
      </c>
      <c r="B15" s="18" t="s">
        <v>86</v>
      </c>
      <c r="C15" s="18" t="s">
        <v>133</v>
      </c>
      <c r="D15" s="21">
        <v>2.4</v>
      </c>
      <c r="E15" s="18" t="s">
        <v>138</v>
      </c>
      <c r="F15" s="18" t="s">
        <v>140</v>
      </c>
      <c r="G15" s="18" t="s">
        <v>142</v>
      </c>
      <c r="H15" s="18" t="s">
        <v>134</v>
      </c>
      <c r="I15" s="18" t="s">
        <v>145</v>
      </c>
      <c r="J15" s="18" t="s">
        <v>67</v>
      </c>
    </row>
    <row r="16" ht="63.75" customHeight="1">
      <c r="A16" s="10" t="s">
        <v>137</v>
      </c>
      <c r="B16" s="10" t="s">
        <v>99</v>
      </c>
      <c r="C16" s="10" t="s">
        <v>139</v>
      </c>
      <c r="D16" s="13">
        <v>2.0</v>
      </c>
      <c r="E16" s="10" t="s">
        <v>147</v>
      </c>
      <c r="F16" s="10" t="s">
        <v>148</v>
      </c>
      <c r="G16" s="10" t="s">
        <v>150</v>
      </c>
      <c r="H16" s="10" t="s">
        <v>141</v>
      </c>
      <c r="I16" s="10" t="s">
        <v>152</v>
      </c>
      <c r="J16" s="10" t="s">
        <v>67</v>
      </c>
    </row>
    <row r="17" ht="63.75" customHeight="1">
      <c r="A17" s="18" t="s">
        <v>146</v>
      </c>
      <c r="B17" s="18" t="s">
        <v>99</v>
      </c>
      <c r="C17" s="18" t="s">
        <v>149</v>
      </c>
      <c r="D17" s="21">
        <v>2.0</v>
      </c>
      <c r="E17" s="18" t="s">
        <v>156</v>
      </c>
      <c r="F17" s="18" t="s">
        <v>158</v>
      </c>
      <c r="G17" s="18" t="s">
        <v>160</v>
      </c>
      <c r="H17" s="18" t="s">
        <v>151</v>
      </c>
      <c r="I17" s="18" t="s">
        <v>161</v>
      </c>
      <c r="J17" s="18" t="s">
        <v>67</v>
      </c>
    </row>
    <row r="18" ht="63.75" customHeight="1">
      <c r="A18" s="10" t="s">
        <v>155</v>
      </c>
      <c r="B18" s="10" t="s">
        <v>99</v>
      </c>
      <c r="C18" s="10" t="s">
        <v>157</v>
      </c>
      <c r="D18" s="13">
        <v>2.0</v>
      </c>
      <c r="E18" s="10" t="s">
        <v>166</v>
      </c>
      <c r="F18" s="10" t="s">
        <v>168</v>
      </c>
      <c r="G18" s="10" t="s">
        <v>169</v>
      </c>
      <c r="H18" s="10" t="s">
        <v>159</v>
      </c>
      <c r="I18" s="10" t="s">
        <v>170</v>
      </c>
      <c r="J18" s="10" t="s">
        <v>67</v>
      </c>
    </row>
    <row r="19" ht="63.75" customHeight="1">
      <c r="A19" s="18" t="s">
        <v>164</v>
      </c>
      <c r="B19" s="18" t="s">
        <v>99</v>
      </c>
      <c r="C19" s="18" t="s">
        <v>165</v>
      </c>
      <c r="D19" s="21">
        <v>2.0</v>
      </c>
      <c r="E19" s="18" t="s">
        <v>176</v>
      </c>
      <c r="F19" s="18" t="s">
        <v>177</v>
      </c>
      <c r="G19" s="18" t="s">
        <v>178</v>
      </c>
      <c r="H19" s="18" t="s">
        <v>167</v>
      </c>
      <c r="I19" s="18" t="s">
        <v>179</v>
      </c>
      <c r="J19" s="18" t="s">
        <v>67</v>
      </c>
    </row>
    <row r="20" ht="63.75" customHeight="1">
      <c r="A20" s="10" t="s">
        <v>171</v>
      </c>
      <c r="B20" s="10" t="s">
        <v>99</v>
      </c>
      <c r="C20" s="10" t="s">
        <v>174</v>
      </c>
      <c r="D20" s="13">
        <v>2.0</v>
      </c>
      <c r="E20" s="10" t="s">
        <v>180</v>
      </c>
      <c r="F20" s="10" t="s">
        <v>181</v>
      </c>
      <c r="G20" s="10" t="s">
        <v>182</v>
      </c>
      <c r="H20" s="10" t="s">
        <v>175</v>
      </c>
      <c r="I20" s="10" t="s">
        <v>184</v>
      </c>
      <c r="J20" s="10" t="s">
        <v>67</v>
      </c>
    </row>
    <row r="21" ht="63.75" customHeight="1">
      <c r="A21" s="18" t="s">
        <v>183</v>
      </c>
      <c r="B21" s="18" t="s">
        <v>111</v>
      </c>
      <c r="C21" s="18" t="s">
        <v>185</v>
      </c>
      <c r="D21" s="21">
        <v>2.8</v>
      </c>
      <c r="E21" s="18" t="s">
        <v>189</v>
      </c>
      <c r="F21" s="18" t="s">
        <v>190</v>
      </c>
      <c r="G21" s="18" t="s">
        <v>191</v>
      </c>
      <c r="H21" s="18" t="s">
        <v>186</v>
      </c>
      <c r="I21" s="18" t="s">
        <v>192</v>
      </c>
      <c r="J21" s="18" t="s">
        <v>67</v>
      </c>
    </row>
    <row r="22" ht="63.75" customHeight="1">
      <c r="A22" s="10" t="s">
        <v>193</v>
      </c>
      <c r="B22" s="10" t="s">
        <v>111</v>
      </c>
      <c r="C22" s="10" t="s">
        <v>194</v>
      </c>
      <c r="D22" s="13">
        <v>2.8</v>
      </c>
      <c r="E22" s="10" t="s">
        <v>195</v>
      </c>
      <c r="F22" s="10" t="s">
        <v>197</v>
      </c>
      <c r="G22" s="10" t="s">
        <v>198</v>
      </c>
      <c r="H22" s="10" t="s">
        <v>196</v>
      </c>
      <c r="I22" s="10" t="s">
        <v>199</v>
      </c>
      <c r="J22" s="10" t="s">
        <v>67</v>
      </c>
    </row>
    <row r="23" ht="63.75" customHeight="1">
      <c r="A23" s="18" t="s">
        <v>202</v>
      </c>
      <c r="B23" s="18" t="s">
        <v>111</v>
      </c>
      <c r="C23" s="18" t="s">
        <v>203</v>
      </c>
      <c r="D23" s="21">
        <v>2.8</v>
      </c>
      <c r="E23" s="18" t="s">
        <v>204</v>
      </c>
      <c r="F23" s="18" t="s">
        <v>205</v>
      </c>
      <c r="G23" s="18" t="s">
        <v>206</v>
      </c>
      <c r="H23" s="18" t="s">
        <v>207</v>
      </c>
      <c r="I23" s="18" t="s">
        <v>208</v>
      </c>
      <c r="J23" s="18" t="s">
        <v>67</v>
      </c>
    </row>
    <row r="24" ht="63.75" customHeight="1">
      <c r="A24" s="10" t="s">
        <v>209</v>
      </c>
      <c r="B24" s="10" t="s">
        <v>111</v>
      </c>
      <c r="C24" s="10" t="s">
        <v>210</v>
      </c>
      <c r="D24" s="13">
        <v>2.8</v>
      </c>
      <c r="E24" s="10" t="s">
        <v>211</v>
      </c>
      <c r="F24" s="10" t="s">
        <v>212</v>
      </c>
      <c r="G24" s="10" t="s">
        <v>213</v>
      </c>
      <c r="H24" s="10" t="s">
        <v>215</v>
      </c>
      <c r="I24" s="10" t="s">
        <v>216</v>
      </c>
      <c r="J24" s="10" t="s">
        <v>67</v>
      </c>
    </row>
    <row r="25" ht="63.75" customHeight="1">
      <c r="A25" s="18" t="s">
        <v>217</v>
      </c>
      <c r="B25" s="18" t="s">
        <v>111</v>
      </c>
      <c r="C25" s="18" t="s">
        <v>218</v>
      </c>
      <c r="D25" s="21">
        <v>2.8</v>
      </c>
      <c r="E25" s="18" t="s">
        <v>219</v>
      </c>
      <c r="F25" s="18" t="s">
        <v>220</v>
      </c>
      <c r="G25" s="18" t="s">
        <v>221</v>
      </c>
      <c r="H25" s="18" t="s">
        <v>224</v>
      </c>
      <c r="I25" s="18" t="s">
        <v>226</v>
      </c>
      <c r="J25" s="18" t="s">
        <v>67</v>
      </c>
    </row>
    <row r="26" ht="63.75" customHeight="1">
      <c r="A26" s="10" t="s">
        <v>228</v>
      </c>
      <c r="B26" s="10" t="s">
        <v>120</v>
      </c>
      <c r="C26" s="10" t="s">
        <v>229</v>
      </c>
      <c r="D26" s="13">
        <v>1.6</v>
      </c>
      <c r="E26" s="10" t="s">
        <v>230</v>
      </c>
      <c r="F26" s="10" t="s">
        <v>232</v>
      </c>
      <c r="G26" s="10" t="s">
        <v>233</v>
      </c>
      <c r="H26" s="10" t="s">
        <v>234</v>
      </c>
      <c r="I26" s="10" t="s">
        <v>235</v>
      </c>
      <c r="J26" s="10" t="s">
        <v>67</v>
      </c>
    </row>
    <row r="27" ht="63.75" customHeight="1">
      <c r="A27" s="18" t="s">
        <v>236</v>
      </c>
      <c r="B27" s="18" t="s">
        <v>120</v>
      </c>
      <c r="C27" s="18" t="s">
        <v>237</v>
      </c>
      <c r="D27" s="21">
        <v>1.6</v>
      </c>
      <c r="E27" s="18" t="s">
        <v>239</v>
      </c>
      <c r="F27" s="18" t="s">
        <v>241</v>
      </c>
      <c r="G27" s="18" t="s">
        <v>242</v>
      </c>
      <c r="H27" s="18" t="s">
        <v>243</v>
      </c>
      <c r="I27" s="18" t="s">
        <v>244</v>
      </c>
      <c r="J27" s="18" t="s">
        <v>67</v>
      </c>
    </row>
    <row r="28" ht="63.75" customHeight="1">
      <c r="A28" s="10" t="s">
        <v>246</v>
      </c>
      <c r="B28" s="10" t="s">
        <v>120</v>
      </c>
      <c r="C28" s="10" t="s">
        <v>247</v>
      </c>
      <c r="D28" s="13">
        <v>1.6</v>
      </c>
      <c r="E28" s="10" t="s">
        <v>249</v>
      </c>
      <c r="F28" s="10" t="s">
        <v>250</v>
      </c>
      <c r="G28" s="10" t="s">
        <v>251</v>
      </c>
      <c r="H28" s="10" t="s">
        <v>252</v>
      </c>
      <c r="I28" s="10" t="s">
        <v>253</v>
      </c>
      <c r="J28" s="10" t="s">
        <v>67</v>
      </c>
    </row>
    <row r="29" ht="63.75" customHeight="1">
      <c r="A29" s="18" t="s">
        <v>254</v>
      </c>
      <c r="B29" s="18" t="s">
        <v>120</v>
      </c>
      <c r="C29" s="18" t="s">
        <v>257</v>
      </c>
      <c r="D29" s="21">
        <v>1.6</v>
      </c>
      <c r="E29" s="18" t="s">
        <v>259</v>
      </c>
      <c r="F29" s="18" t="s">
        <v>261</v>
      </c>
      <c r="G29" s="18" t="s">
        <v>263</v>
      </c>
      <c r="H29" s="18" t="s">
        <v>264</v>
      </c>
      <c r="I29" s="18" t="s">
        <v>265</v>
      </c>
      <c r="J29" s="18" t="s">
        <v>67</v>
      </c>
    </row>
    <row r="30" ht="63.75" customHeight="1">
      <c r="A30" s="10" t="s">
        <v>267</v>
      </c>
      <c r="B30" s="10" t="s">
        <v>120</v>
      </c>
      <c r="C30" s="10" t="s">
        <v>268</v>
      </c>
      <c r="D30" s="13">
        <v>1.6</v>
      </c>
      <c r="E30" s="10" t="s">
        <v>270</v>
      </c>
      <c r="F30" s="10" t="s">
        <v>271</v>
      </c>
      <c r="G30" s="10" t="s">
        <v>272</v>
      </c>
      <c r="H30" s="10" t="s">
        <v>273</v>
      </c>
      <c r="I30" s="10" t="s">
        <v>274</v>
      </c>
      <c r="J30" s="10" t="s">
        <v>67</v>
      </c>
    </row>
    <row r="31" ht="63.75" customHeight="1">
      <c r="A31" s="18" t="s">
        <v>277</v>
      </c>
      <c r="B31" s="18" t="s">
        <v>130</v>
      </c>
      <c r="C31" s="18" t="s">
        <v>278</v>
      </c>
      <c r="D31" s="21">
        <v>1.2</v>
      </c>
      <c r="E31" s="18" t="s">
        <v>279</v>
      </c>
      <c r="F31" s="18" t="s">
        <v>280</v>
      </c>
      <c r="G31" s="18" t="s">
        <v>281</v>
      </c>
      <c r="H31" s="18" t="s">
        <v>282</v>
      </c>
      <c r="I31" s="18" t="s">
        <v>283</v>
      </c>
      <c r="J31" s="18" t="s">
        <v>67</v>
      </c>
    </row>
    <row r="32" ht="63.75" customHeight="1">
      <c r="A32" s="10" t="s">
        <v>284</v>
      </c>
      <c r="B32" s="10" t="s">
        <v>130</v>
      </c>
      <c r="C32" s="10" t="s">
        <v>285</v>
      </c>
      <c r="D32" s="13">
        <v>1.2</v>
      </c>
      <c r="E32" s="10" t="s">
        <v>286</v>
      </c>
      <c r="F32" s="10" t="s">
        <v>287</v>
      </c>
      <c r="G32" s="10" t="s">
        <v>288</v>
      </c>
      <c r="H32" s="10" t="s">
        <v>289</v>
      </c>
      <c r="I32" s="10" t="s">
        <v>290</v>
      </c>
      <c r="J32" s="10" t="s">
        <v>67</v>
      </c>
    </row>
    <row r="33" ht="63.75" customHeight="1">
      <c r="A33" s="18" t="s">
        <v>291</v>
      </c>
      <c r="B33" s="18" t="s">
        <v>130</v>
      </c>
      <c r="C33" s="18" t="s">
        <v>292</v>
      </c>
      <c r="D33" s="21">
        <v>1.2</v>
      </c>
      <c r="E33" s="18" t="s">
        <v>293</v>
      </c>
      <c r="F33" s="18" t="s">
        <v>294</v>
      </c>
      <c r="G33" s="18" t="s">
        <v>295</v>
      </c>
      <c r="H33" s="18" t="s">
        <v>296</v>
      </c>
      <c r="I33" s="18" t="s">
        <v>297</v>
      </c>
      <c r="J33" s="18" t="s">
        <v>67</v>
      </c>
    </row>
    <row r="34" ht="63.75" customHeight="1">
      <c r="A34" s="10" t="s">
        <v>298</v>
      </c>
      <c r="B34" s="10" t="s">
        <v>130</v>
      </c>
      <c r="C34" s="10" t="s">
        <v>299</v>
      </c>
      <c r="D34" s="13">
        <v>1.2</v>
      </c>
      <c r="E34" s="10" t="s">
        <v>300</v>
      </c>
      <c r="F34" s="10" t="s">
        <v>301</v>
      </c>
      <c r="G34" s="10" t="s">
        <v>302</v>
      </c>
      <c r="H34" s="10" t="s">
        <v>303</v>
      </c>
      <c r="I34" s="10" t="s">
        <v>304</v>
      </c>
      <c r="J34" s="10" t="s">
        <v>67</v>
      </c>
    </row>
    <row r="35" ht="63.75" customHeight="1">
      <c r="A35" s="18" t="s">
        <v>305</v>
      </c>
      <c r="B35" s="18" t="s">
        <v>130</v>
      </c>
      <c r="C35" s="18" t="s">
        <v>306</v>
      </c>
      <c r="D35" s="21">
        <v>1.2</v>
      </c>
      <c r="E35" s="18" t="s">
        <v>307</v>
      </c>
      <c r="F35" s="18" t="s">
        <v>308</v>
      </c>
      <c r="G35" s="18" t="s">
        <v>309</v>
      </c>
      <c r="H35" s="18" t="s">
        <v>310</v>
      </c>
      <c r="I35" s="18" t="s">
        <v>311</v>
      </c>
      <c r="J35" s="18" t="s">
        <v>67</v>
      </c>
    </row>
    <row r="36" ht="63.75" customHeight="1">
      <c r="A36" s="10" t="s">
        <v>312</v>
      </c>
      <c r="B36" s="10" t="s">
        <v>144</v>
      </c>
      <c r="C36" s="10" t="s">
        <v>313</v>
      </c>
      <c r="D36" s="13">
        <v>1.0</v>
      </c>
      <c r="E36" s="10" t="s">
        <v>314</v>
      </c>
      <c r="F36" s="10" t="s">
        <v>315</v>
      </c>
      <c r="G36" s="10" t="s">
        <v>316</v>
      </c>
      <c r="H36" s="10" t="s">
        <v>317</v>
      </c>
      <c r="I36" s="10" t="s">
        <v>318</v>
      </c>
      <c r="J36" s="10" t="s">
        <v>67</v>
      </c>
    </row>
    <row r="37" ht="63.75" customHeight="1">
      <c r="A37" s="18" t="s">
        <v>319</v>
      </c>
      <c r="B37" s="18" t="s">
        <v>144</v>
      </c>
      <c r="C37" s="18" t="s">
        <v>320</v>
      </c>
      <c r="D37" s="21">
        <v>1.0</v>
      </c>
      <c r="E37" s="18" t="s">
        <v>321</v>
      </c>
      <c r="F37" s="18" t="s">
        <v>322</v>
      </c>
      <c r="G37" s="18" t="s">
        <v>323</v>
      </c>
      <c r="H37" s="18" t="s">
        <v>324</v>
      </c>
      <c r="I37" s="18" t="s">
        <v>325</v>
      </c>
      <c r="J37" s="18" t="s">
        <v>67</v>
      </c>
    </row>
    <row r="38" ht="63.75" customHeight="1">
      <c r="A38" s="10" t="s">
        <v>326</v>
      </c>
      <c r="B38" s="10" t="s">
        <v>144</v>
      </c>
      <c r="C38" s="10" t="s">
        <v>327</v>
      </c>
      <c r="D38" s="13">
        <v>1.0</v>
      </c>
      <c r="E38" s="10" t="s">
        <v>328</v>
      </c>
      <c r="F38" s="10" t="s">
        <v>329</v>
      </c>
      <c r="G38" s="10" t="s">
        <v>330</v>
      </c>
      <c r="H38" s="10" t="s">
        <v>331</v>
      </c>
      <c r="I38" s="10" t="s">
        <v>332</v>
      </c>
      <c r="J38" s="10" t="s">
        <v>67</v>
      </c>
    </row>
    <row r="39" ht="63.75" customHeight="1">
      <c r="A39" s="18" t="s">
        <v>333</v>
      </c>
      <c r="B39" s="18" t="s">
        <v>144</v>
      </c>
      <c r="C39" s="18" t="s">
        <v>334</v>
      </c>
      <c r="D39" s="21">
        <v>1.0</v>
      </c>
      <c r="E39" s="18" t="s">
        <v>335</v>
      </c>
      <c r="F39" s="18" t="s">
        <v>336</v>
      </c>
      <c r="G39" s="18" t="s">
        <v>337</v>
      </c>
      <c r="H39" s="18" t="s">
        <v>338</v>
      </c>
      <c r="I39" s="18" t="s">
        <v>339</v>
      </c>
      <c r="J39" s="18" t="s">
        <v>67</v>
      </c>
    </row>
    <row r="40" ht="63.75" customHeight="1">
      <c r="A40" s="10" t="s">
        <v>340</v>
      </c>
      <c r="B40" s="10" t="s">
        <v>144</v>
      </c>
      <c r="C40" s="10" t="s">
        <v>343</v>
      </c>
      <c r="D40" s="13">
        <v>1.0</v>
      </c>
      <c r="E40" s="10" t="s">
        <v>344</v>
      </c>
      <c r="F40" s="10" t="s">
        <v>345</v>
      </c>
      <c r="G40" s="10" t="s">
        <v>346</v>
      </c>
      <c r="H40" s="10" t="s">
        <v>347</v>
      </c>
      <c r="I40" s="10" t="s">
        <v>348</v>
      </c>
      <c r="J40" s="10" t="s">
        <v>67</v>
      </c>
    </row>
    <row r="41" ht="63.75" customHeight="1">
      <c r="A41" s="18" t="s">
        <v>349</v>
      </c>
      <c r="B41" s="18" t="s">
        <v>154</v>
      </c>
      <c r="C41" s="18" t="s">
        <v>350</v>
      </c>
      <c r="D41" s="21">
        <v>2.0</v>
      </c>
      <c r="E41" s="18" t="s">
        <v>351</v>
      </c>
      <c r="F41" s="18" t="s">
        <v>352</v>
      </c>
      <c r="G41" s="18" t="s">
        <v>353</v>
      </c>
      <c r="H41" s="18" t="s">
        <v>354</v>
      </c>
      <c r="I41" s="18" t="s">
        <v>355</v>
      </c>
      <c r="J41" s="18" t="s">
        <v>67</v>
      </c>
    </row>
    <row r="42" ht="63.75" customHeight="1">
      <c r="A42" s="10" t="s">
        <v>356</v>
      </c>
      <c r="B42" s="10" t="s">
        <v>154</v>
      </c>
      <c r="C42" s="10" t="s">
        <v>357</v>
      </c>
      <c r="D42" s="13">
        <v>2.0</v>
      </c>
      <c r="E42" s="10" t="s">
        <v>359</v>
      </c>
      <c r="F42" s="10" t="s">
        <v>363</v>
      </c>
      <c r="G42" s="10" t="s">
        <v>365</v>
      </c>
      <c r="H42" s="10" t="s">
        <v>369</v>
      </c>
      <c r="I42" s="10" t="s">
        <v>372</v>
      </c>
      <c r="J42" s="10" t="s">
        <v>67</v>
      </c>
    </row>
    <row r="43" ht="63.75" customHeight="1">
      <c r="A43" s="18" t="s">
        <v>383</v>
      </c>
      <c r="B43" s="18" t="s">
        <v>154</v>
      </c>
      <c r="C43" s="18" t="s">
        <v>385</v>
      </c>
      <c r="D43" s="21">
        <v>2.0</v>
      </c>
      <c r="E43" s="18" t="s">
        <v>400</v>
      </c>
      <c r="F43" s="18" t="s">
        <v>404</v>
      </c>
      <c r="G43" s="18" t="s">
        <v>409</v>
      </c>
      <c r="H43" s="18" t="s">
        <v>416</v>
      </c>
      <c r="I43" s="18" t="s">
        <v>419</v>
      </c>
      <c r="J43" s="18" t="s">
        <v>67</v>
      </c>
    </row>
    <row r="44" ht="63.75" customHeight="1">
      <c r="A44" s="10" t="s">
        <v>435</v>
      </c>
      <c r="B44" s="10" t="s">
        <v>154</v>
      </c>
      <c r="C44" s="10" t="s">
        <v>445</v>
      </c>
      <c r="D44" s="13">
        <v>2.0</v>
      </c>
      <c r="E44" s="10" t="s">
        <v>456</v>
      </c>
      <c r="F44" s="10" t="s">
        <v>459</v>
      </c>
      <c r="G44" s="10" t="s">
        <v>460</v>
      </c>
      <c r="H44" s="10" t="s">
        <v>461</v>
      </c>
      <c r="I44" s="10" t="s">
        <v>462</v>
      </c>
      <c r="J44" s="10" t="s">
        <v>67</v>
      </c>
    </row>
    <row r="45" ht="63.75" customHeight="1">
      <c r="A45" s="18" t="s">
        <v>463</v>
      </c>
      <c r="B45" s="18" t="s">
        <v>154</v>
      </c>
      <c r="C45" s="18" t="s">
        <v>464</v>
      </c>
      <c r="D45" s="21">
        <v>2.0</v>
      </c>
      <c r="E45" s="18" t="s">
        <v>465</v>
      </c>
      <c r="F45" s="18" t="s">
        <v>466</v>
      </c>
      <c r="G45" s="18" t="s">
        <v>467</v>
      </c>
      <c r="H45" s="18" t="s">
        <v>468</v>
      </c>
      <c r="I45" s="18" t="s">
        <v>469</v>
      </c>
      <c r="J45" s="18" t="s">
        <v>67</v>
      </c>
    </row>
    <row r="46" ht="63.75" customHeight="1">
      <c r="A46" s="10" t="s">
        <v>470</v>
      </c>
      <c r="B46" s="10" t="s">
        <v>163</v>
      </c>
      <c r="C46" s="10" t="s">
        <v>471</v>
      </c>
      <c r="D46" s="13">
        <v>1.6</v>
      </c>
      <c r="E46" s="10" t="s">
        <v>472</v>
      </c>
      <c r="F46" s="10" t="s">
        <v>473</v>
      </c>
      <c r="G46" s="10" t="s">
        <v>474</v>
      </c>
      <c r="H46" s="10" t="s">
        <v>475</v>
      </c>
      <c r="I46" s="10" t="s">
        <v>476</v>
      </c>
      <c r="J46" s="10" t="s">
        <v>67</v>
      </c>
    </row>
    <row r="47" ht="63.75" customHeight="1">
      <c r="A47" s="18" t="s">
        <v>477</v>
      </c>
      <c r="B47" s="18" t="s">
        <v>163</v>
      </c>
      <c r="C47" s="18" t="s">
        <v>478</v>
      </c>
      <c r="D47" s="21">
        <v>1.6</v>
      </c>
      <c r="E47" s="18" t="s">
        <v>479</v>
      </c>
      <c r="F47" s="18" t="s">
        <v>480</v>
      </c>
      <c r="G47" s="18" t="s">
        <v>481</v>
      </c>
      <c r="H47" s="18" t="s">
        <v>482</v>
      </c>
      <c r="I47" s="18" t="s">
        <v>483</v>
      </c>
      <c r="J47" s="18" t="s">
        <v>67</v>
      </c>
    </row>
    <row r="48" ht="63.75" customHeight="1">
      <c r="A48" s="10" t="s">
        <v>484</v>
      </c>
      <c r="B48" s="10" t="s">
        <v>163</v>
      </c>
      <c r="C48" s="10" t="s">
        <v>485</v>
      </c>
      <c r="D48" s="13">
        <v>1.6</v>
      </c>
      <c r="E48" s="10" t="s">
        <v>486</v>
      </c>
      <c r="F48" s="10" t="s">
        <v>487</v>
      </c>
      <c r="G48" s="10" t="s">
        <v>488</v>
      </c>
      <c r="H48" s="10" t="s">
        <v>489</v>
      </c>
      <c r="I48" s="10" t="s">
        <v>490</v>
      </c>
      <c r="J48" s="10" t="s">
        <v>67</v>
      </c>
    </row>
    <row r="49" ht="63.75" customHeight="1">
      <c r="A49" s="18" t="s">
        <v>491</v>
      </c>
      <c r="B49" s="18" t="s">
        <v>163</v>
      </c>
      <c r="C49" s="18" t="s">
        <v>492</v>
      </c>
      <c r="D49" s="21">
        <v>1.6</v>
      </c>
      <c r="E49" s="18" t="s">
        <v>493</v>
      </c>
      <c r="F49" s="18" t="s">
        <v>494</v>
      </c>
      <c r="G49" s="18" t="s">
        <v>495</v>
      </c>
      <c r="H49" s="18" t="s">
        <v>496</v>
      </c>
      <c r="I49" s="18" t="s">
        <v>497</v>
      </c>
      <c r="J49" s="18" t="s">
        <v>67</v>
      </c>
    </row>
    <row r="50" ht="63.75" customHeight="1">
      <c r="A50" s="10" t="s">
        <v>498</v>
      </c>
      <c r="B50" s="10" t="s">
        <v>163</v>
      </c>
      <c r="C50" s="10" t="s">
        <v>499</v>
      </c>
      <c r="D50" s="13">
        <v>1.6</v>
      </c>
      <c r="E50" s="10" t="s">
        <v>500</v>
      </c>
      <c r="F50" s="10" t="s">
        <v>501</v>
      </c>
      <c r="G50" s="10" t="s">
        <v>502</v>
      </c>
      <c r="H50" s="10" t="s">
        <v>503</v>
      </c>
      <c r="I50" s="10" t="s">
        <v>504</v>
      </c>
      <c r="J50" s="10" t="s">
        <v>67</v>
      </c>
    </row>
    <row r="51" ht="63.75" customHeight="1">
      <c r="A51" s="18" t="s">
        <v>505</v>
      </c>
      <c r="B51" s="18" t="s">
        <v>173</v>
      </c>
      <c r="C51" s="18" t="s">
        <v>506</v>
      </c>
      <c r="D51" s="21">
        <v>2.0</v>
      </c>
      <c r="E51" s="18" t="s">
        <v>507</v>
      </c>
      <c r="F51" s="18" t="s">
        <v>508</v>
      </c>
      <c r="G51" s="18" t="s">
        <v>509</v>
      </c>
      <c r="H51" s="18" t="s">
        <v>510</v>
      </c>
      <c r="I51" s="18" t="s">
        <v>511</v>
      </c>
      <c r="J51" s="18" t="s">
        <v>67</v>
      </c>
    </row>
    <row r="52" ht="63.75" customHeight="1">
      <c r="A52" s="10" t="s">
        <v>512</v>
      </c>
      <c r="B52" s="10" t="s">
        <v>173</v>
      </c>
      <c r="C52" s="10" t="s">
        <v>513</v>
      </c>
      <c r="D52" s="13">
        <v>2.0</v>
      </c>
      <c r="E52" s="10" t="s">
        <v>514</v>
      </c>
      <c r="F52" s="10" t="s">
        <v>515</v>
      </c>
      <c r="G52" s="10" t="s">
        <v>516</v>
      </c>
      <c r="H52" s="10" t="s">
        <v>517</v>
      </c>
      <c r="I52" s="10" t="s">
        <v>518</v>
      </c>
      <c r="J52" s="10" t="s">
        <v>67</v>
      </c>
    </row>
    <row r="53" ht="63.75" customHeight="1">
      <c r="A53" s="18" t="s">
        <v>519</v>
      </c>
      <c r="B53" s="18" t="s">
        <v>173</v>
      </c>
      <c r="C53" s="18" t="s">
        <v>520</v>
      </c>
      <c r="D53" s="21">
        <v>2.0</v>
      </c>
      <c r="E53" s="18" t="s">
        <v>521</v>
      </c>
      <c r="F53" s="18" t="s">
        <v>522</v>
      </c>
      <c r="G53" s="18" t="s">
        <v>523</v>
      </c>
      <c r="H53" s="18" t="s">
        <v>524</v>
      </c>
      <c r="I53" s="18" t="s">
        <v>525</v>
      </c>
      <c r="J53" s="18" t="s">
        <v>67</v>
      </c>
    </row>
    <row r="54" ht="63.75" customHeight="1">
      <c r="A54" s="10" t="s">
        <v>526</v>
      </c>
      <c r="B54" s="10" t="s">
        <v>173</v>
      </c>
      <c r="C54" s="10" t="s">
        <v>527</v>
      </c>
      <c r="D54" s="13">
        <v>2.0</v>
      </c>
      <c r="E54" s="10" t="s">
        <v>528</v>
      </c>
      <c r="F54" s="10" t="s">
        <v>529</v>
      </c>
      <c r="G54" s="10" t="s">
        <v>530</v>
      </c>
      <c r="H54" s="10" t="s">
        <v>531</v>
      </c>
      <c r="I54" s="10" t="s">
        <v>532</v>
      </c>
      <c r="J54" s="10" t="s">
        <v>67</v>
      </c>
    </row>
    <row r="55" ht="63.75" customHeight="1">
      <c r="A55" s="18" t="s">
        <v>533</v>
      </c>
      <c r="B55" s="18" t="s">
        <v>173</v>
      </c>
      <c r="C55" s="18" t="s">
        <v>534</v>
      </c>
      <c r="D55" s="21">
        <v>2.0</v>
      </c>
      <c r="E55" s="18" t="s">
        <v>535</v>
      </c>
      <c r="F55" s="18" t="s">
        <v>536</v>
      </c>
      <c r="G55" s="18" t="s">
        <v>537</v>
      </c>
      <c r="H55" s="18" t="s">
        <v>538</v>
      </c>
      <c r="I55" s="18" t="s">
        <v>539</v>
      </c>
      <c r="J55" s="18" t="s">
        <v>67</v>
      </c>
    </row>
    <row r="56" ht="63.75" customHeight="1">
      <c r="A56" s="10" t="s">
        <v>540</v>
      </c>
      <c r="B56" s="10" t="s">
        <v>188</v>
      </c>
      <c r="C56" s="10" t="s">
        <v>541</v>
      </c>
      <c r="D56" s="13">
        <v>1.2</v>
      </c>
      <c r="E56" s="10" t="s">
        <v>542</v>
      </c>
      <c r="F56" s="10" t="s">
        <v>543</v>
      </c>
      <c r="G56" s="10" t="s">
        <v>544</v>
      </c>
      <c r="H56" s="10" t="s">
        <v>545</v>
      </c>
      <c r="I56" s="10" t="s">
        <v>546</v>
      </c>
      <c r="J56" s="10" t="s">
        <v>67</v>
      </c>
    </row>
    <row r="57" ht="63.75" customHeight="1">
      <c r="A57" s="18" t="s">
        <v>547</v>
      </c>
      <c r="B57" s="18" t="s">
        <v>188</v>
      </c>
      <c r="C57" s="18" t="s">
        <v>548</v>
      </c>
      <c r="D57" s="21">
        <v>1.2</v>
      </c>
      <c r="E57" s="18" t="s">
        <v>549</v>
      </c>
      <c r="F57" s="18" t="s">
        <v>550</v>
      </c>
      <c r="G57" s="18" t="s">
        <v>551</v>
      </c>
      <c r="H57" s="18" t="s">
        <v>552</v>
      </c>
      <c r="I57" s="18" t="s">
        <v>553</v>
      </c>
      <c r="J57" s="18" t="s">
        <v>67</v>
      </c>
    </row>
    <row r="58" ht="63.75" customHeight="1">
      <c r="A58" s="10" t="s">
        <v>554</v>
      </c>
      <c r="B58" s="10" t="s">
        <v>188</v>
      </c>
      <c r="C58" s="10" t="s">
        <v>555</v>
      </c>
      <c r="D58" s="13">
        <v>1.2</v>
      </c>
      <c r="E58" s="10" t="s">
        <v>556</v>
      </c>
      <c r="F58" s="10" t="s">
        <v>557</v>
      </c>
      <c r="G58" s="10" t="s">
        <v>558</v>
      </c>
      <c r="H58" s="10" t="s">
        <v>559</v>
      </c>
      <c r="I58" s="10" t="s">
        <v>560</v>
      </c>
      <c r="J58" s="10" t="s">
        <v>67</v>
      </c>
    </row>
    <row r="59" ht="63.75" customHeight="1">
      <c r="A59" s="18" t="s">
        <v>561</v>
      </c>
      <c r="B59" s="18" t="s">
        <v>188</v>
      </c>
      <c r="C59" s="18" t="s">
        <v>562</v>
      </c>
      <c r="D59" s="21">
        <v>1.2</v>
      </c>
      <c r="E59" s="18" t="s">
        <v>563</v>
      </c>
      <c r="F59" s="18" t="s">
        <v>564</v>
      </c>
      <c r="G59" s="18" t="s">
        <v>565</v>
      </c>
      <c r="H59" s="18" t="s">
        <v>566</v>
      </c>
      <c r="I59" s="18" t="s">
        <v>567</v>
      </c>
      <c r="J59" s="18" t="s">
        <v>67</v>
      </c>
    </row>
    <row r="60" ht="63.75" customHeight="1">
      <c r="A60" s="10" t="s">
        <v>568</v>
      </c>
      <c r="B60" s="10" t="s">
        <v>188</v>
      </c>
      <c r="C60" s="10" t="s">
        <v>569</v>
      </c>
      <c r="D60" s="13">
        <v>1.2</v>
      </c>
      <c r="E60" s="10" t="s">
        <v>570</v>
      </c>
      <c r="F60" s="10" t="s">
        <v>571</v>
      </c>
      <c r="G60" s="10" t="s">
        <v>572</v>
      </c>
      <c r="H60" s="10" t="s">
        <v>573</v>
      </c>
      <c r="I60" s="10" t="s">
        <v>574</v>
      </c>
      <c r="J60" s="10" t="s">
        <v>67</v>
      </c>
    </row>
    <row r="61" ht="63.75" customHeight="1">
      <c r="A61" s="18" t="s">
        <v>575</v>
      </c>
      <c r="B61" s="18" t="s">
        <v>201</v>
      </c>
      <c r="C61" s="18" t="s">
        <v>576</v>
      </c>
      <c r="D61" s="21">
        <v>1.0</v>
      </c>
      <c r="E61" s="18" t="s">
        <v>577</v>
      </c>
      <c r="F61" s="18" t="s">
        <v>578</v>
      </c>
      <c r="G61" s="18" t="s">
        <v>579</v>
      </c>
      <c r="H61" s="18" t="s">
        <v>580</v>
      </c>
      <c r="I61" s="18" t="s">
        <v>581</v>
      </c>
      <c r="J61" s="18" t="s">
        <v>67</v>
      </c>
    </row>
    <row r="62" ht="63.75" customHeight="1">
      <c r="A62" s="10" t="s">
        <v>582</v>
      </c>
      <c r="B62" s="10" t="s">
        <v>201</v>
      </c>
      <c r="C62" s="10" t="s">
        <v>583</v>
      </c>
      <c r="D62" s="13">
        <v>1.0</v>
      </c>
      <c r="E62" s="10" t="s">
        <v>584</v>
      </c>
      <c r="F62" s="10" t="s">
        <v>585</v>
      </c>
      <c r="G62" s="10" t="s">
        <v>586</v>
      </c>
      <c r="H62" s="10" t="s">
        <v>587</v>
      </c>
      <c r="I62" s="10" t="s">
        <v>588</v>
      </c>
      <c r="J62" s="10" t="s">
        <v>67</v>
      </c>
    </row>
    <row r="63" ht="63.75" customHeight="1">
      <c r="A63" s="18" t="s">
        <v>589</v>
      </c>
      <c r="B63" s="18" t="s">
        <v>201</v>
      </c>
      <c r="C63" s="18" t="s">
        <v>590</v>
      </c>
      <c r="D63" s="21">
        <v>1.0</v>
      </c>
      <c r="E63" s="18" t="s">
        <v>591</v>
      </c>
      <c r="F63" s="18" t="s">
        <v>592</v>
      </c>
      <c r="G63" s="18" t="s">
        <v>593</v>
      </c>
      <c r="H63" s="18" t="s">
        <v>594</v>
      </c>
      <c r="I63" s="18" t="s">
        <v>595</v>
      </c>
      <c r="J63" s="18" t="s">
        <v>67</v>
      </c>
    </row>
    <row r="64" ht="63.75" customHeight="1">
      <c r="A64" s="10" t="s">
        <v>596</v>
      </c>
      <c r="B64" s="10" t="s">
        <v>201</v>
      </c>
      <c r="C64" s="10" t="s">
        <v>597</v>
      </c>
      <c r="D64" s="13">
        <v>1.0</v>
      </c>
      <c r="E64" s="10" t="s">
        <v>598</v>
      </c>
      <c r="F64" s="10" t="s">
        <v>599</v>
      </c>
      <c r="G64" s="10" t="s">
        <v>600</v>
      </c>
      <c r="H64" s="10" t="s">
        <v>601</v>
      </c>
      <c r="I64" s="10" t="s">
        <v>602</v>
      </c>
      <c r="J64" s="10" t="s">
        <v>67</v>
      </c>
    </row>
    <row r="65" ht="63.75" customHeight="1">
      <c r="A65" s="18" t="s">
        <v>603</v>
      </c>
      <c r="B65" s="18" t="s">
        <v>201</v>
      </c>
      <c r="C65" s="18" t="s">
        <v>604</v>
      </c>
      <c r="D65" s="21">
        <v>1.0</v>
      </c>
      <c r="E65" s="18" t="s">
        <v>605</v>
      </c>
      <c r="F65" s="18" t="s">
        <v>606</v>
      </c>
      <c r="G65" s="18" t="s">
        <v>607</v>
      </c>
      <c r="H65" s="18" t="s">
        <v>608</v>
      </c>
      <c r="I65" s="18" t="s">
        <v>609</v>
      </c>
      <c r="J65" s="18" t="s">
        <v>67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7.75"/>
    <col customWidth="1" min="2" max="2" width="20.0"/>
    <col customWidth="1" min="3" max="3" width="26.88"/>
    <col customWidth="1" min="4" max="4" width="57.5"/>
    <col customWidth="1" min="5" max="5" width="31.25"/>
    <col customWidth="1" min="6" max="6" width="35.0"/>
    <col customWidth="1" min="7" max="7" width="12.5"/>
    <col customWidth="1" min="8" max="8" width="40.0"/>
    <col customWidth="1" min="9" max="9" width="32.5"/>
    <col customWidth="1" min="10" max="10" width="26.25"/>
    <col customWidth="1" min="11" max="11" width="16.25"/>
    <col customWidth="1" min="12" max="26" width="8.63"/>
  </cols>
  <sheetData>
    <row r="1" ht="27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2" t="s">
        <v>10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ht="9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ht="27.75" customHeight="1">
      <c r="A4" s="7" t="s">
        <v>13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ht="37.5" customHeight="1">
      <c r="A5" s="8" t="s">
        <v>15</v>
      </c>
      <c r="B5" s="8" t="s">
        <v>18</v>
      </c>
      <c r="C5" s="8" t="s">
        <v>20</v>
      </c>
      <c r="D5" s="8" t="s">
        <v>21</v>
      </c>
      <c r="E5" s="8" t="s">
        <v>23</v>
      </c>
      <c r="F5" s="8" t="s">
        <v>27</v>
      </c>
      <c r="G5" s="8" t="s">
        <v>31</v>
      </c>
      <c r="H5" s="8" t="s">
        <v>34</v>
      </c>
      <c r="I5" s="8" t="s">
        <v>44</v>
      </c>
      <c r="J5" s="8" t="s">
        <v>46</v>
      </c>
      <c r="K5" s="8" t="s">
        <v>49</v>
      </c>
    </row>
    <row r="6" ht="60.0" customHeight="1">
      <c r="A6" s="10" t="s">
        <v>47</v>
      </c>
      <c r="B6" s="10" t="s">
        <v>52</v>
      </c>
      <c r="C6" s="10" t="s">
        <v>53</v>
      </c>
      <c r="D6" s="10" t="s">
        <v>55</v>
      </c>
      <c r="E6" s="12"/>
      <c r="F6" s="12"/>
      <c r="G6" s="12"/>
      <c r="H6" s="12"/>
      <c r="I6" s="12"/>
      <c r="J6" s="12"/>
      <c r="K6" s="12"/>
    </row>
    <row r="7" ht="60.0" customHeight="1">
      <c r="A7" s="18" t="s">
        <v>68</v>
      </c>
      <c r="B7" s="18" t="s">
        <v>52</v>
      </c>
      <c r="C7" s="18" t="s">
        <v>69</v>
      </c>
      <c r="D7" s="18" t="s">
        <v>70</v>
      </c>
      <c r="E7" s="12"/>
      <c r="F7" s="12"/>
      <c r="G7" s="12"/>
      <c r="H7" s="12"/>
      <c r="I7" s="12"/>
      <c r="J7" s="12"/>
      <c r="K7" s="12"/>
    </row>
    <row r="8" ht="60.0" customHeight="1">
      <c r="A8" s="10" t="s">
        <v>75</v>
      </c>
      <c r="B8" s="10" t="s">
        <v>52</v>
      </c>
      <c r="C8" s="10" t="s">
        <v>76</v>
      </c>
      <c r="D8" s="10" t="s">
        <v>77</v>
      </c>
      <c r="E8" s="12"/>
      <c r="F8" s="12"/>
      <c r="G8" s="12"/>
      <c r="H8" s="12"/>
      <c r="I8" s="12"/>
      <c r="J8" s="12"/>
      <c r="K8" s="12"/>
    </row>
    <row r="9" ht="60.0" customHeight="1">
      <c r="A9" s="18" t="s">
        <v>81</v>
      </c>
      <c r="B9" s="18" t="s">
        <v>52</v>
      </c>
      <c r="C9" s="18" t="s">
        <v>83</v>
      </c>
      <c r="D9" s="18" t="s">
        <v>84</v>
      </c>
      <c r="E9" s="12"/>
      <c r="F9" s="12"/>
      <c r="G9" s="12"/>
      <c r="H9" s="12"/>
      <c r="I9" s="12"/>
      <c r="J9" s="12"/>
      <c r="K9" s="12"/>
    </row>
    <row r="10" ht="60.0" customHeight="1">
      <c r="A10" s="10" t="s">
        <v>90</v>
      </c>
      <c r="B10" s="10" t="s">
        <v>52</v>
      </c>
      <c r="C10" s="10" t="s">
        <v>92</v>
      </c>
      <c r="D10" s="10" t="s">
        <v>93</v>
      </c>
      <c r="E10" s="12"/>
      <c r="F10" s="12"/>
      <c r="G10" s="12"/>
      <c r="H10" s="12"/>
      <c r="I10" s="12"/>
      <c r="J10" s="12"/>
      <c r="K10" s="12"/>
    </row>
    <row r="11" ht="60.0" customHeight="1">
      <c r="A11" s="18" t="s">
        <v>97</v>
      </c>
      <c r="B11" s="18" t="s">
        <v>86</v>
      </c>
      <c r="C11" s="18" t="s">
        <v>100</v>
      </c>
      <c r="D11" s="18" t="s">
        <v>102</v>
      </c>
      <c r="E11" s="12"/>
      <c r="F11" s="12"/>
      <c r="G11" s="12"/>
      <c r="H11" s="12"/>
      <c r="I11" s="12"/>
      <c r="J11" s="12"/>
      <c r="K11" s="12"/>
    </row>
    <row r="12" ht="60.0" customHeight="1">
      <c r="A12" s="10" t="s">
        <v>105</v>
      </c>
      <c r="B12" s="10" t="s">
        <v>86</v>
      </c>
      <c r="C12" s="10" t="s">
        <v>107</v>
      </c>
      <c r="D12" s="10" t="s">
        <v>109</v>
      </c>
      <c r="E12" s="12"/>
      <c r="F12" s="12"/>
      <c r="G12" s="12"/>
      <c r="H12" s="12"/>
      <c r="I12" s="12"/>
      <c r="J12" s="12"/>
      <c r="K12" s="12"/>
    </row>
    <row r="13" ht="60.0" customHeight="1">
      <c r="A13" s="18" t="s">
        <v>114</v>
      </c>
      <c r="B13" s="18" t="s">
        <v>86</v>
      </c>
      <c r="C13" s="18" t="s">
        <v>115</v>
      </c>
      <c r="D13" s="18" t="s">
        <v>117</v>
      </c>
      <c r="E13" s="12"/>
      <c r="F13" s="12"/>
      <c r="G13" s="12"/>
      <c r="H13" s="12"/>
      <c r="I13" s="12"/>
      <c r="J13" s="12"/>
      <c r="K13" s="12"/>
    </row>
    <row r="14" ht="60.0" customHeight="1">
      <c r="A14" s="10" t="s">
        <v>121</v>
      </c>
      <c r="B14" s="10" t="s">
        <v>86</v>
      </c>
      <c r="C14" s="10" t="s">
        <v>124</v>
      </c>
      <c r="D14" s="10" t="s">
        <v>126</v>
      </c>
      <c r="E14" s="12"/>
      <c r="F14" s="12"/>
      <c r="G14" s="12"/>
      <c r="H14" s="12"/>
      <c r="I14" s="12"/>
      <c r="J14" s="12"/>
      <c r="K14" s="12"/>
    </row>
    <row r="15" ht="60.0" customHeight="1">
      <c r="A15" s="18" t="s">
        <v>128</v>
      </c>
      <c r="B15" s="18" t="s">
        <v>86</v>
      </c>
      <c r="C15" s="18" t="s">
        <v>133</v>
      </c>
      <c r="D15" s="18" t="s">
        <v>134</v>
      </c>
      <c r="E15" s="12"/>
      <c r="F15" s="12"/>
      <c r="G15" s="12"/>
      <c r="H15" s="12"/>
      <c r="I15" s="12"/>
      <c r="J15" s="12"/>
      <c r="K15" s="12"/>
    </row>
    <row r="16" ht="60.0" customHeight="1">
      <c r="A16" s="10" t="s">
        <v>137</v>
      </c>
      <c r="B16" s="10" t="s">
        <v>99</v>
      </c>
      <c r="C16" s="10" t="s">
        <v>139</v>
      </c>
      <c r="D16" s="10" t="s">
        <v>141</v>
      </c>
      <c r="E16" s="12"/>
      <c r="F16" s="12"/>
      <c r="G16" s="12"/>
      <c r="H16" s="12"/>
      <c r="I16" s="12"/>
      <c r="J16" s="12"/>
      <c r="K16" s="12"/>
    </row>
    <row r="17" ht="60.0" customHeight="1">
      <c r="A17" s="18" t="s">
        <v>146</v>
      </c>
      <c r="B17" s="18" t="s">
        <v>99</v>
      </c>
      <c r="C17" s="18" t="s">
        <v>149</v>
      </c>
      <c r="D17" s="18" t="s">
        <v>151</v>
      </c>
      <c r="E17" s="12"/>
      <c r="F17" s="12"/>
      <c r="G17" s="12"/>
      <c r="H17" s="12"/>
      <c r="I17" s="12"/>
      <c r="J17" s="12"/>
      <c r="K17" s="12"/>
    </row>
    <row r="18" ht="60.0" customHeight="1">
      <c r="A18" s="10" t="s">
        <v>155</v>
      </c>
      <c r="B18" s="10" t="s">
        <v>99</v>
      </c>
      <c r="C18" s="10" t="s">
        <v>157</v>
      </c>
      <c r="D18" s="10" t="s">
        <v>159</v>
      </c>
      <c r="E18" s="12"/>
      <c r="F18" s="12"/>
      <c r="G18" s="12"/>
      <c r="H18" s="12"/>
      <c r="I18" s="12"/>
      <c r="J18" s="12"/>
      <c r="K18" s="12"/>
    </row>
    <row r="19" ht="60.0" customHeight="1">
      <c r="A19" s="18" t="s">
        <v>164</v>
      </c>
      <c r="B19" s="18" t="s">
        <v>99</v>
      </c>
      <c r="C19" s="18" t="s">
        <v>165</v>
      </c>
      <c r="D19" s="18" t="s">
        <v>167</v>
      </c>
      <c r="E19" s="12"/>
      <c r="F19" s="12"/>
      <c r="G19" s="12"/>
      <c r="H19" s="12"/>
      <c r="I19" s="12"/>
      <c r="J19" s="12"/>
      <c r="K19" s="12"/>
    </row>
    <row r="20" ht="60.0" customHeight="1">
      <c r="A20" s="10" t="s">
        <v>171</v>
      </c>
      <c r="B20" s="10" t="s">
        <v>99</v>
      </c>
      <c r="C20" s="10" t="s">
        <v>174</v>
      </c>
      <c r="D20" s="10" t="s">
        <v>175</v>
      </c>
      <c r="E20" s="12"/>
      <c r="F20" s="12"/>
      <c r="G20" s="12"/>
      <c r="H20" s="12"/>
      <c r="I20" s="12"/>
      <c r="J20" s="12"/>
      <c r="K20" s="12"/>
    </row>
    <row r="21" ht="60.0" customHeight="1">
      <c r="A21" s="18" t="s">
        <v>183</v>
      </c>
      <c r="B21" s="18" t="s">
        <v>111</v>
      </c>
      <c r="C21" s="18" t="s">
        <v>185</v>
      </c>
      <c r="D21" s="18" t="s">
        <v>186</v>
      </c>
      <c r="E21" s="12"/>
      <c r="F21" s="12"/>
      <c r="G21" s="12"/>
      <c r="H21" s="12"/>
      <c r="I21" s="12"/>
      <c r="J21" s="12"/>
      <c r="K21" s="12"/>
    </row>
    <row r="22" ht="60.0" customHeight="1">
      <c r="A22" s="10" t="s">
        <v>193</v>
      </c>
      <c r="B22" s="10" t="s">
        <v>111</v>
      </c>
      <c r="C22" s="10" t="s">
        <v>194</v>
      </c>
      <c r="D22" s="10" t="s">
        <v>196</v>
      </c>
      <c r="E22" s="12"/>
      <c r="F22" s="12"/>
      <c r="G22" s="12"/>
      <c r="H22" s="12"/>
      <c r="I22" s="12"/>
      <c r="J22" s="12"/>
      <c r="K22" s="12"/>
    </row>
    <row r="23" ht="60.0" customHeight="1">
      <c r="A23" s="18" t="s">
        <v>202</v>
      </c>
      <c r="B23" s="18" t="s">
        <v>111</v>
      </c>
      <c r="C23" s="18" t="s">
        <v>203</v>
      </c>
      <c r="D23" s="18" t="s">
        <v>207</v>
      </c>
      <c r="E23" s="12"/>
      <c r="F23" s="12"/>
      <c r="G23" s="12"/>
      <c r="H23" s="12"/>
      <c r="I23" s="12"/>
      <c r="J23" s="12"/>
      <c r="K23" s="12"/>
    </row>
    <row r="24" ht="60.0" customHeight="1">
      <c r="A24" s="10" t="s">
        <v>209</v>
      </c>
      <c r="B24" s="10" t="s">
        <v>111</v>
      </c>
      <c r="C24" s="10" t="s">
        <v>210</v>
      </c>
      <c r="D24" s="10" t="s">
        <v>215</v>
      </c>
      <c r="E24" s="12"/>
      <c r="F24" s="12"/>
      <c r="G24" s="12"/>
      <c r="H24" s="12"/>
      <c r="I24" s="12"/>
      <c r="J24" s="12"/>
      <c r="K24" s="12"/>
    </row>
    <row r="25" ht="84.0" customHeight="1">
      <c r="A25" s="18" t="s">
        <v>217</v>
      </c>
      <c r="B25" s="18" t="s">
        <v>111</v>
      </c>
      <c r="C25" s="18" t="s">
        <v>218</v>
      </c>
      <c r="D25" s="18" t="s">
        <v>224</v>
      </c>
      <c r="E25" s="12" t="s">
        <v>238</v>
      </c>
      <c r="F25" s="12" t="s">
        <v>240</v>
      </c>
      <c r="G25" s="12"/>
      <c r="H25" s="12"/>
      <c r="I25" s="12"/>
      <c r="J25" s="12"/>
      <c r="K25" s="12" t="s">
        <v>245</v>
      </c>
    </row>
    <row r="26" ht="60.0" customHeight="1">
      <c r="A26" s="10" t="s">
        <v>228</v>
      </c>
      <c r="B26" s="10" t="s">
        <v>120</v>
      </c>
      <c r="C26" s="10" t="s">
        <v>229</v>
      </c>
      <c r="D26" s="10" t="s">
        <v>234</v>
      </c>
      <c r="E26" s="12"/>
      <c r="F26" s="12"/>
      <c r="G26" s="12"/>
      <c r="H26" s="12"/>
      <c r="I26" s="12"/>
      <c r="J26" s="12"/>
      <c r="K26" s="12"/>
    </row>
    <row r="27" ht="60.0" customHeight="1">
      <c r="A27" s="18" t="s">
        <v>236</v>
      </c>
      <c r="B27" s="18" t="s">
        <v>120</v>
      </c>
      <c r="C27" s="18" t="s">
        <v>237</v>
      </c>
      <c r="D27" s="18" t="s">
        <v>243</v>
      </c>
      <c r="E27" s="12"/>
      <c r="F27" s="12"/>
      <c r="G27" s="12"/>
      <c r="H27" s="12"/>
      <c r="I27" s="12"/>
      <c r="J27" s="12"/>
      <c r="K27" s="12"/>
    </row>
    <row r="28" ht="84.0" customHeight="1">
      <c r="A28" s="10" t="s">
        <v>246</v>
      </c>
      <c r="B28" s="10" t="s">
        <v>120</v>
      </c>
      <c r="C28" s="10" t="s">
        <v>247</v>
      </c>
      <c r="D28" s="10" t="s">
        <v>252</v>
      </c>
      <c r="E28" s="12" t="s">
        <v>275</v>
      </c>
      <c r="F28" s="12" t="s">
        <v>276</v>
      </c>
      <c r="G28" s="12"/>
      <c r="H28" s="12"/>
      <c r="I28" s="12"/>
      <c r="J28" s="12"/>
      <c r="K28" s="12" t="s">
        <v>245</v>
      </c>
    </row>
    <row r="29" ht="60.0" customHeight="1">
      <c r="A29" s="18" t="s">
        <v>254</v>
      </c>
      <c r="B29" s="18" t="s">
        <v>120</v>
      </c>
      <c r="C29" s="18" t="s">
        <v>257</v>
      </c>
      <c r="D29" s="18" t="s">
        <v>264</v>
      </c>
      <c r="E29" s="12"/>
      <c r="F29" s="12"/>
      <c r="G29" s="12"/>
      <c r="H29" s="12"/>
      <c r="I29" s="12"/>
      <c r="J29" s="12"/>
      <c r="K29" s="12"/>
    </row>
    <row r="30" ht="60.0" customHeight="1">
      <c r="A30" s="10" t="s">
        <v>267</v>
      </c>
      <c r="B30" s="10" t="s">
        <v>120</v>
      </c>
      <c r="C30" s="10" t="s">
        <v>268</v>
      </c>
      <c r="D30" s="10" t="s">
        <v>273</v>
      </c>
      <c r="E30" s="12"/>
      <c r="F30" s="12"/>
      <c r="G30" s="12"/>
      <c r="H30" s="12"/>
      <c r="I30" s="12"/>
      <c r="J30" s="12"/>
      <c r="K30" s="12"/>
    </row>
    <row r="31" ht="60.0" customHeight="1">
      <c r="A31" s="18" t="s">
        <v>277</v>
      </c>
      <c r="B31" s="18" t="s">
        <v>130</v>
      </c>
      <c r="C31" s="18" t="s">
        <v>278</v>
      </c>
      <c r="D31" s="18" t="s">
        <v>282</v>
      </c>
      <c r="E31" s="12"/>
      <c r="F31" s="12"/>
      <c r="G31" s="12"/>
      <c r="H31" s="12"/>
      <c r="I31" s="12"/>
      <c r="J31" s="12"/>
      <c r="K31" s="12"/>
    </row>
    <row r="32" ht="60.0" customHeight="1">
      <c r="A32" s="10" t="s">
        <v>284</v>
      </c>
      <c r="B32" s="10" t="s">
        <v>130</v>
      </c>
      <c r="C32" s="10" t="s">
        <v>285</v>
      </c>
      <c r="D32" s="10" t="s">
        <v>289</v>
      </c>
      <c r="E32" s="12"/>
      <c r="F32" s="12"/>
      <c r="G32" s="12"/>
      <c r="H32" s="12"/>
      <c r="I32" s="12"/>
      <c r="J32" s="12"/>
      <c r="K32" s="12"/>
    </row>
    <row r="33" ht="60.0" customHeight="1">
      <c r="A33" s="18" t="s">
        <v>291</v>
      </c>
      <c r="B33" s="18" t="s">
        <v>130</v>
      </c>
      <c r="C33" s="18" t="s">
        <v>292</v>
      </c>
      <c r="D33" s="18" t="s">
        <v>296</v>
      </c>
      <c r="E33" s="12"/>
      <c r="F33" s="12"/>
      <c r="G33" s="12"/>
      <c r="H33" s="12"/>
      <c r="I33" s="12"/>
      <c r="J33" s="12"/>
      <c r="K33" s="12"/>
    </row>
    <row r="34" ht="60.0" customHeight="1">
      <c r="A34" s="10" t="s">
        <v>298</v>
      </c>
      <c r="B34" s="10" t="s">
        <v>130</v>
      </c>
      <c r="C34" s="10" t="s">
        <v>299</v>
      </c>
      <c r="D34" s="10" t="s">
        <v>303</v>
      </c>
      <c r="E34" s="12"/>
      <c r="F34" s="12"/>
      <c r="G34" s="12"/>
      <c r="H34" s="12"/>
      <c r="I34" s="12"/>
      <c r="J34" s="12"/>
      <c r="K34" s="12"/>
    </row>
    <row r="35" ht="84.0" customHeight="1">
      <c r="A35" s="18" t="s">
        <v>305</v>
      </c>
      <c r="B35" s="18" t="s">
        <v>130</v>
      </c>
      <c r="C35" s="18" t="s">
        <v>306</v>
      </c>
      <c r="D35" s="18" t="s">
        <v>310</v>
      </c>
      <c r="E35" s="12" t="s">
        <v>341</v>
      </c>
      <c r="F35" s="12" t="s">
        <v>342</v>
      </c>
      <c r="G35" s="12"/>
      <c r="H35" s="12"/>
      <c r="I35" s="12"/>
      <c r="J35" s="12"/>
      <c r="K35" s="12" t="s">
        <v>245</v>
      </c>
    </row>
    <row r="36" ht="60.0" customHeight="1">
      <c r="A36" s="10" t="s">
        <v>312</v>
      </c>
      <c r="B36" s="10" t="s">
        <v>144</v>
      </c>
      <c r="C36" s="10" t="s">
        <v>313</v>
      </c>
      <c r="D36" s="10" t="s">
        <v>317</v>
      </c>
      <c r="E36" s="12"/>
      <c r="F36" s="12"/>
      <c r="G36" s="12"/>
      <c r="H36" s="12"/>
      <c r="I36" s="12"/>
      <c r="J36" s="12"/>
      <c r="K36" s="12"/>
    </row>
    <row r="37" ht="60.0" customHeight="1">
      <c r="A37" s="18" t="s">
        <v>319</v>
      </c>
      <c r="B37" s="18" t="s">
        <v>144</v>
      </c>
      <c r="C37" s="18" t="s">
        <v>320</v>
      </c>
      <c r="D37" s="18" t="s">
        <v>324</v>
      </c>
      <c r="E37" s="12"/>
      <c r="F37" s="12"/>
      <c r="G37" s="12"/>
      <c r="H37" s="12"/>
      <c r="I37" s="12"/>
      <c r="J37" s="12"/>
      <c r="K37" s="12"/>
    </row>
    <row r="38" ht="60.0" customHeight="1">
      <c r="A38" s="10" t="s">
        <v>326</v>
      </c>
      <c r="B38" s="10" t="s">
        <v>144</v>
      </c>
      <c r="C38" s="10" t="s">
        <v>327</v>
      </c>
      <c r="D38" s="10" t="s">
        <v>331</v>
      </c>
      <c r="E38" s="12"/>
      <c r="F38" s="12"/>
      <c r="G38" s="12"/>
      <c r="H38" s="12"/>
      <c r="I38" s="12"/>
      <c r="J38" s="12"/>
      <c r="K38" s="12"/>
    </row>
    <row r="39" ht="84.0" customHeight="1">
      <c r="A39" s="18" t="s">
        <v>333</v>
      </c>
      <c r="B39" s="18" t="s">
        <v>144</v>
      </c>
      <c r="C39" s="18" t="s">
        <v>334</v>
      </c>
      <c r="D39" s="18" t="s">
        <v>338</v>
      </c>
      <c r="E39" s="12" t="s">
        <v>417</v>
      </c>
      <c r="F39" s="12" t="s">
        <v>425</v>
      </c>
      <c r="G39" s="12"/>
      <c r="H39" s="12"/>
      <c r="I39" s="12"/>
      <c r="J39" s="12"/>
      <c r="K39" s="12" t="s">
        <v>245</v>
      </c>
    </row>
    <row r="40" ht="60.0" customHeight="1">
      <c r="A40" s="10" t="s">
        <v>340</v>
      </c>
      <c r="B40" s="10" t="s">
        <v>144</v>
      </c>
      <c r="C40" s="10" t="s">
        <v>343</v>
      </c>
      <c r="D40" s="10" t="s">
        <v>347</v>
      </c>
      <c r="E40" s="12"/>
      <c r="F40" s="12"/>
      <c r="G40" s="12"/>
      <c r="H40" s="12"/>
      <c r="I40" s="12"/>
      <c r="J40" s="12"/>
      <c r="K40" s="12"/>
    </row>
    <row r="41" ht="60.0" customHeight="1">
      <c r="A41" s="18" t="s">
        <v>349</v>
      </c>
      <c r="B41" s="18" t="s">
        <v>154</v>
      </c>
      <c r="C41" s="18" t="s">
        <v>350</v>
      </c>
      <c r="D41" s="18" t="s">
        <v>354</v>
      </c>
      <c r="E41" s="12"/>
      <c r="F41" s="12"/>
      <c r="G41" s="12"/>
      <c r="H41" s="12"/>
      <c r="I41" s="12"/>
      <c r="J41" s="12"/>
      <c r="K41" s="12"/>
    </row>
    <row r="42" ht="60.0" customHeight="1">
      <c r="A42" s="10" t="s">
        <v>356</v>
      </c>
      <c r="B42" s="10" t="s">
        <v>154</v>
      </c>
      <c r="C42" s="10" t="s">
        <v>357</v>
      </c>
      <c r="D42" s="10" t="s">
        <v>369</v>
      </c>
      <c r="E42" s="12"/>
      <c r="F42" s="12"/>
      <c r="G42" s="12"/>
      <c r="H42" s="12"/>
      <c r="I42" s="12"/>
      <c r="J42" s="12"/>
      <c r="K42" s="12"/>
    </row>
    <row r="43" ht="60.0" customHeight="1">
      <c r="A43" s="18" t="s">
        <v>383</v>
      </c>
      <c r="B43" s="18" t="s">
        <v>154</v>
      </c>
      <c r="C43" s="18" t="s">
        <v>385</v>
      </c>
      <c r="D43" s="18" t="s">
        <v>416</v>
      </c>
      <c r="E43" s="12"/>
      <c r="F43" s="12"/>
      <c r="G43" s="12"/>
      <c r="H43" s="12"/>
      <c r="I43" s="12"/>
      <c r="J43" s="12"/>
      <c r="K43" s="12"/>
    </row>
    <row r="44" ht="60.0" customHeight="1">
      <c r="A44" s="10" t="s">
        <v>435</v>
      </c>
      <c r="B44" s="10" t="s">
        <v>154</v>
      </c>
      <c r="C44" s="10" t="s">
        <v>445</v>
      </c>
      <c r="D44" s="10" t="s">
        <v>461</v>
      </c>
      <c r="E44" s="12"/>
      <c r="F44" s="12"/>
      <c r="G44" s="12"/>
      <c r="H44" s="12"/>
      <c r="I44" s="12"/>
      <c r="J44" s="12"/>
      <c r="K44" s="12"/>
    </row>
    <row r="45" ht="60.0" customHeight="1">
      <c r="A45" s="18" t="s">
        <v>463</v>
      </c>
      <c r="B45" s="18" t="s">
        <v>154</v>
      </c>
      <c r="C45" s="18" t="s">
        <v>464</v>
      </c>
      <c r="D45" s="18" t="s">
        <v>468</v>
      </c>
      <c r="E45" s="12"/>
      <c r="F45" s="12"/>
      <c r="G45" s="12"/>
      <c r="H45" s="12"/>
      <c r="I45" s="12"/>
      <c r="J45" s="12"/>
      <c r="K45" s="12"/>
    </row>
    <row r="46" ht="60.0" customHeight="1">
      <c r="A46" s="10" t="s">
        <v>470</v>
      </c>
      <c r="B46" s="10" t="s">
        <v>163</v>
      </c>
      <c r="C46" s="10" t="s">
        <v>471</v>
      </c>
      <c r="D46" s="10" t="s">
        <v>475</v>
      </c>
      <c r="E46" s="12"/>
      <c r="F46" s="12"/>
      <c r="G46" s="12"/>
      <c r="H46" s="12"/>
      <c r="I46" s="12"/>
      <c r="J46" s="12"/>
      <c r="K46" s="12"/>
    </row>
    <row r="47" ht="60.0" customHeight="1">
      <c r="A47" s="18" t="s">
        <v>477</v>
      </c>
      <c r="B47" s="18" t="s">
        <v>163</v>
      </c>
      <c r="C47" s="18" t="s">
        <v>478</v>
      </c>
      <c r="D47" s="18" t="s">
        <v>482</v>
      </c>
      <c r="E47" s="12"/>
      <c r="F47" s="12"/>
      <c r="G47" s="12"/>
      <c r="H47" s="12"/>
      <c r="I47" s="12"/>
      <c r="J47" s="12"/>
      <c r="K47" s="12"/>
    </row>
    <row r="48" ht="60.0" customHeight="1">
      <c r="A48" s="10" t="s">
        <v>484</v>
      </c>
      <c r="B48" s="10" t="s">
        <v>163</v>
      </c>
      <c r="C48" s="10" t="s">
        <v>485</v>
      </c>
      <c r="D48" s="10" t="s">
        <v>489</v>
      </c>
      <c r="E48" s="12"/>
      <c r="F48" s="12"/>
      <c r="G48" s="12"/>
      <c r="H48" s="12"/>
      <c r="I48" s="12"/>
      <c r="J48" s="12"/>
      <c r="K48" s="12"/>
    </row>
    <row r="49" ht="60.0" customHeight="1">
      <c r="A49" s="18" t="s">
        <v>491</v>
      </c>
      <c r="B49" s="18" t="s">
        <v>163</v>
      </c>
      <c r="C49" s="18" t="s">
        <v>492</v>
      </c>
      <c r="D49" s="18" t="s">
        <v>496</v>
      </c>
      <c r="E49" s="12"/>
      <c r="F49" s="12"/>
      <c r="G49" s="12"/>
      <c r="H49" s="12"/>
      <c r="I49" s="12"/>
      <c r="J49" s="12"/>
      <c r="K49" s="12"/>
    </row>
    <row r="50" ht="60.0" customHeight="1">
      <c r="A50" s="10" t="s">
        <v>498</v>
      </c>
      <c r="B50" s="10" t="s">
        <v>163</v>
      </c>
      <c r="C50" s="10" t="s">
        <v>499</v>
      </c>
      <c r="D50" s="10" t="s">
        <v>503</v>
      </c>
      <c r="E50" s="12"/>
      <c r="F50" s="12"/>
      <c r="G50" s="12"/>
      <c r="H50" s="12"/>
      <c r="I50" s="12"/>
      <c r="J50" s="12"/>
      <c r="K50" s="12"/>
    </row>
    <row r="51" ht="60.0" customHeight="1">
      <c r="A51" s="18" t="s">
        <v>505</v>
      </c>
      <c r="B51" s="18" t="s">
        <v>173</v>
      </c>
      <c r="C51" s="18" t="s">
        <v>506</v>
      </c>
      <c r="D51" s="18" t="s">
        <v>510</v>
      </c>
      <c r="E51" s="12"/>
      <c r="F51" s="12"/>
      <c r="G51" s="12"/>
      <c r="H51" s="12"/>
      <c r="I51" s="12"/>
      <c r="J51" s="12"/>
      <c r="K51" s="12"/>
    </row>
    <row r="52" ht="60.0" customHeight="1">
      <c r="A52" s="10" t="s">
        <v>512</v>
      </c>
      <c r="B52" s="10" t="s">
        <v>173</v>
      </c>
      <c r="C52" s="10" t="s">
        <v>513</v>
      </c>
      <c r="D52" s="10" t="s">
        <v>517</v>
      </c>
      <c r="E52" s="12"/>
      <c r="F52" s="12"/>
      <c r="G52" s="12"/>
      <c r="H52" s="12"/>
      <c r="I52" s="12"/>
      <c r="J52" s="12"/>
      <c r="K52" s="12"/>
    </row>
    <row r="53" ht="60.0" customHeight="1">
      <c r="A53" s="18" t="s">
        <v>519</v>
      </c>
      <c r="B53" s="18" t="s">
        <v>173</v>
      </c>
      <c r="C53" s="18" t="s">
        <v>520</v>
      </c>
      <c r="D53" s="18" t="s">
        <v>524</v>
      </c>
      <c r="E53" s="12"/>
      <c r="F53" s="12"/>
      <c r="G53" s="12"/>
      <c r="H53" s="12"/>
      <c r="I53" s="12"/>
      <c r="J53" s="12"/>
      <c r="K53" s="12"/>
    </row>
    <row r="54" ht="60.0" customHeight="1">
      <c r="A54" s="10" t="s">
        <v>526</v>
      </c>
      <c r="B54" s="10" t="s">
        <v>173</v>
      </c>
      <c r="C54" s="10" t="s">
        <v>527</v>
      </c>
      <c r="D54" s="10" t="s">
        <v>531</v>
      </c>
      <c r="E54" s="12"/>
      <c r="F54" s="12"/>
      <c r="G54" s="12"/>
      <c r="H54" s="12"/>
      <c r="I54" s="12"/>
      <c r="J54" s="12"/>
      <c r="K54" s="12"/>
    </row>
    <row r="55" ht="60.0" customHeight="1">
      <c r="A55" s="18" t="s">
        <v>533</v>
      </c>
      <c r="B55" s="18" t="s">
        <v>173</v>
      </c>
      <c r="C55" s="18" t="s">
        <v>534</v>
      </c>
      <c r="D55" s="18" t="s">
        <v>538</v>
      </c>
      <c r="E55" s="12"/>
      <c r="F55" s="12"/>
      <c r="G55" s="12"/>
      <c r="H55" s="12"/>
      <c r="I55" s="12"/>
      <c r="J55" s="12"/>
      <c r="K55" s="12"/>
    </row>
    <row r="56" ht="60.0" customHeight="1">
      <c r="A56" s="10" t="s">
        <v>540</v>
      </c>
      <c r="B56" s="10" t="s">
        <v>188</v>
      </c>
      <c r="C56" s="10" t="s">
        <v>541</v>
      </c>
      <c r="D56" s="10" t="s">
        <v>545</v>
      </c>
      <c r="E56" s="12"/>
      <c r="F56" s="12"/>
      <c r="G56" s="12"/>
      <c r="H56" s="12"/>
      <c r="I56" s="12"/>
      <c r="J56" s="12"/>
      <c r="K56" s="12"/>
    </row>
    <row r="57" ht="60.0" customHeight="1">
      <c r="A57" s="18" t="s">
        <v>547</v>
      </c>
      <c r="B57" s="18" t="s">
        <v>188</v>
      </c>
      <c r="C57" s="18" t="s">
        <v>548</v>
      </c>
      <c r="D57" s="18" t="s">
        <v>552</v>
      </c>
      <c r="E57" s="12"/>
      <c r="F57" s="12"/>
      <c r="G57" s="12"/>
      <c r="H57" s="12"/>
      <c r="I57" s="12"/>
      <c r="J57" s="12"/>
      <c r="K57" s="12"/>
    </row>
    <row r="58" ht="60.0" customHeight="1">
      <c r="A58" s="10" t="s">
        <v>554</v>
      </c>
      <c r="B58" s="10" t="s">
        <v>188</v>
      </c>
      <c r="C58" s="10" t="s">
        <v>555</v>
      </c>
      <c r="D58" s="10" t="s">
        <v>559</v>
      </c>
      <c r="E58" s="12"/>
      <c r="F58" s="12"/>
      <c r="G58" s="12"/>
      <c r="H58" s="12"/>
      <c r="I58" s="12"/>
      <c r="J58" s="12"/>
      <c r="K58" s="12"/>
    </row>
    <row r="59" ht="60.0" customHeight="1">
      <c r="A59" s="18" t="s">
        <v>561</v>
      </c>
      <c r="B59" s="18" t="s">
        <v>188</v>
      </c>
      <c r="C59" s="18" t="s">
        <v>562</v>
      </c>
      <c r="D59" s="18" t="s">
        <v>566</v>
      </c>
      <c r="E59" s="12"/>
      <c r="F59" s="12"/>
      <c r="G59" s="12"/>
      <c r="H59" s="12"/>
      <c r="I59" s="12"/>
      <c r="J59" s="12"/>
      <c r="K59" s="12"/>
    </row>
    <row r="60" ht="60.0" customHeight="1">
      <c r="A60" s="10" t="s">
        <v>568</v>
      </c>
      <c r="B60" s="10" t="s">
        <v>188</v>
      </c>
      <c r="C60" s="10" t="s">
        <v>569</v>
      </c>
      <c r="D60" s="10" t="s">
        <v>573</v>
      </c>
      <c r="E60" s="12"/>
      <c r="F60" s="12"/>
      <c r="G60" s="12"/>
      <c r="H60" s="12"/>
      <c r="I60" s="12"/>
      <c r="J60" s="12"/>
      <c r="K60" s="12"/>
    </row>
    <row r="61" ht="60.0" customHeight="1">
      <c r="A61" s="18" t="s">
        <v>575</v>
      </c>
      <c r="B61" s="18" t="s">
        <v>201</v>
      </c>
      <c r="C61" s="18" t="s">
        <v>576</v>
      </c>
      <c r="D61" s="18" t="s">
        <v>580</v>
      </c>
      <c r="E61" s="12"/>
      <c r="F61" s="12"/>
      <c r="G61" s="12"/>
      <c r="H61" s="12"/>
      <c r="I61" s="12"/>
      <c r="J61" s="12"/>
      <c r="K61" s="12"/>
    </row>
    <row r="62" ht="60.0" customHeight="1">
      <c r="A62" s="10" t="s">
        <v>582</v>
      </c>
      <c r="B62" s="10" t="s">
        <v>201</v>
      </c>
      <c r="C62" s="10" t="s">
        <v>583</v>
      </c>
      <c r="D62" s="10" t="s">
        <v>587</v>
      </c>
      <c r="E62" s="12"/>
      <c r="F62" s="12"/>
      <c r="G62" s="12"/>
      <c r="H62" s="12"/>
      <c r="I62" s="12"/>
      <c r="J62" s="12"/>
      <c r="K62" s="12"/>
    </row>
    <row r="63" ht="60.0" customHeight="1">
      <c r="A63" s="18" t="s">
        <v>589</v>
      </c>
      <c r="B63" s="18" t="s">
        <v>201</v>
      </c>
      <c r="C63" s="18" t="s">
        <v>590</v>
      </c>
      <c r="D63" s="18" t="s">
        <v>594</v>
      </c>
      <c r="E63" s="12"/>
      <c r="F63" s="12"/>
      <c r="G63" s="12"/>
      <c r="H63" s="12"/>
      <c r="I63" s="12"/>
      <c r="J63" s="12"/>
      <c r="K63" s="12"/>
    </row>
    <row r="64" ht="60.0" customHeight="1">
      <c r="A64" s="10" t="s">
        <v>596</v>
      </c>
      <c r="B64" s="10" t="s">
        <v>201</v>
      </c>
      <c r="C64" s="10" t="s">
        <v>597</v>
      </c>
      <c r="D64" s="10" t="s">
        <v>601</v>
      </c>
      <c r="E64" s="12"/>
      <c r="F64" s="12"/>
      <c r="G64" s="12"/>
      <c r="H64" s="12"/>
      <c r="I64" s="12"/>
      <c r="J64" s="12"/>
      <c r="K64" s="12"/>
    </row>
    <row r="65" ht="60.0" customHeight="1">
      <c r="A65" s="18" t="s">
        <v>603</v>
      </c>
      <c r="B65" s="18" t="s">
        <v>201</v>
      </c>
      <c r="C65" s="18" t="s">
        <v>604</v>
      </c>
      <c r="D65" s="18" t="s">
        <v>608</v>
      </c>
      <c r="E65" s="12"/>
      <c r="F65" s="12"/>
      <c r="G65" s="12"/>
      <c r="H65" s="12"/>
      <c r="I65" s="12"/>
      <c r="J65" s="12"/>
      <c r="K65" s="12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K6:K65">
      <formula1>"待补,已收到待核验,已核验,需重测"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A2AF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0.0"/>
    <col customWidth="1" min="2" max="2" width="16.25"/>
    <col customWidth="1" min="3" max="3" width="53.75"/>
    <col customWidth="1" min="4" max="4" width="31.25"/>
    <col customWidth="1" min="5" max="26" width="8.63"/>
  </cols>
  <sheetData>
    <row r="1" ht="27.75" customHeight="1">
      <c r="A1" s="1"/>
      <c r="B1" s="1"/>
      <c r="C1" s="1"/>
      <c r="D1" s="1"/>
    </row>
    <row r="2" ht="33.75" customHeight="1">
      <c r="A2" s="2" t="s">
        <v>358</v>
      </c>
      <c r="B2" s="1"/>
      <c r="C2" s="1"/>
      <c r="D2" s="1"/>
    </row>
    <row r="3" ht="9.0" customHeight="1">
      <c r="A3" s="3"/>
      <c r="B3" s="3"/>
      <c r="C3" s="3"/>
      <c r="D3" s="3"/>
    </row>
    <row r="4" ht="27.75" customHeight="1">
      <c r="A4" s="1"/>
      <c r="B4" s="1"/>
      <c r="C4" s="1"/>
      <c r="D4" s="1"/>
    </row>
    <row r="5" ht="27.75" customHeight="1">
      <c r="A5" s="1" t="s">
        <v>360</v>
      </c>
      <c r="B5" s="11">
        <v>0.7</v>
      </c>
      <c r="C5" s="1" t="s">
        <v>361</v>
      </c>
      <c r="D5" s="1"/>
    </row>
    <row r="6" ht="27.75" customHeight="1">
      <c r="A6" s="1" t="s">
        <v>362</v>
      </c>
      <c r="B6" s="11">
        <v>0.3</v>
      </c>
      <c r="C6" s="1" t="s">
        <v>364</v>
      </c>
      <c r="D6" s="1"/>
    </row>
    <row r="7" ht="27.75" customHeight="1">
      <c r="A7" s="1"/>
      <c r="B7" s="1"/>
      <c r="C7" s="1"/>
      <c r="D7" s="1"/>
    </row>
    <row r="8" ht="37.5" customHeight="1">
      <c r="A8" s="14" t="s">
        <v>366</v>
      </c>
      <c r="B8" s="14" t="s">
        <v>367</v>
      </c>
      <c r="C8" s="14" t="s">
        <v>368</v>
      </c>
      <c r="D8" s="1"/>
    </row>
    <row r="9" ht="48.75" customHeight="1">
      <c r="A9" s="30">
        <v>0.0</v>
      </c>
      <c r="B9" s="31" t="s">
        <v>370</v>
      </c>
      <c r="C9" s="31" t="s">
        <v>371</v>
      </c>
      <c r="D9" s="1"/>
    </row>
    <row r="10" ht="48.75" customHeight="1">
      <c r="A10" s="30">
        <v>1.0</v>
      </c>
      <c r="B10" s="31" t="s">
        <v>373</v>
      </c>
      <c r="C10" s="31" t="s">
        <v>374</v>
      </c>
      <c r="D10" s="1"/>
    </row>
    <row r="11" ht="48.75" customHeight="1">
      <c r="A11" s="30">
        <v>2.0</v>
      </c>
      <c r="B11" s="31" t="s">
        <v>375</v>
      </c>
      <c r="C11" s="31" t="s">
        <v>376</v>
      </c>
      <c r="D11" s="1"/>
    </row>
    <row r="12" ht="48.75" customHeight="1">
      <c r="A12" s="30">
        <v>3.0</v>
      </c>
      <c r="B12" s="31" t="s">
        <v>377</v>
      </c>
      <c r="C12" s="31" t="s">
        <v>378</v>
      </c>
      <c r="D12" s="1"/>
    </row>
    <row r="13" ht="48.75" customHeight="1">
      <c r="A13" s="30">
        <v>4.0</v>
      </c>
      <c r="B13" s="31" t="s">
        <v>379</v>
      </c>
      <c r="C13" s="31" t="s">
        <v>380</v>
      </c>
      <c r="D13" s="1"/>
    </row>
    <row r="14" ht="48.75" customHeight="1">
      <c r="A14" s="30">
        <v>5.0</v>
      </c>
      <c r="B14" s="31" t="s">
        <v>381</v>
      </c>
      <c r="C14" s="31" t="s">
        <v>382</v>
      </c>
      <c r="D14" s="1"/>
    </row>
    <row r="15" ht="27.75" customHeight="1">
      <c r="A15" s="1"/>
      <c r="B15" s="1"/>
      <c r="C15" s="1"/>
      <c r="D15" s="1"/>
    </row>
    <row r="16" ht="37.5" customHeight="1">
      <c r="A16" s="14" t="s">
        <v>384</v>
      </c>
      <c r="B16" s="14" t="s">
        <v>386</v>
      </c>
      <c r="C16" s="14" t="s">
        <v>387</v>
      </c>
      <c r="D16" s="1"/>
    </row>
    <row r="17" ht="60.75" customHeight="1">
      <c r="A17" s="31" t="s">
        <v>388</v>
      </c>
      <c r="B17" s="31" t="s">
        <v>389</v>
      </c>
      <c r="C17" s="31" t="s">
        <v>390</v>
      </c>
      <c r="D17" s="1"/>
    </row>
    <row r="18" ht="60.75" customHeight="1">
      <c r="A18" s="31" t="s">
        <v>391</v>
      </c>
      <c r="B18" s="31" t="s">
        <v>392</v>
      </c>
      <c r="C18" s="31" t="s">
        <v>393</v>
      </c>
      <c r="D18" s="1"/>
    </row>
    <row r="19" ht="60.75" customHeight="1">
      <c r="A19" s="31" t="s">
        <v>394</v>
      </c>
      <c r="B19" s="31" t="s">
        <v>395</v>
      </c>
      <c r="C19" s="31" t="s">
        <v>396</v>
      </c>
      <c r="D19" s="1"/>
    </row>
    <row r="20" ht="60.75" customHeight="1">
      <c r="A20" s="31" t="s">
        <v>397</v>
      </c>
      <c r="B20" s="31" t="s">
        <v>398</v>
      </c>
      <c r="C20" s="31" t="s">
        <v>399</v>
      </c>
      <c r="D20" s="1"/>
    </row>
    <row r="21" ht="27.75" customHeight="1">
      <c r="A21" s="1"/>
      <c r="B21" s="1"/>
      <c r="C21" s="1"/>
      <c r="D21" s="1"/>
    </row>
    <row r="22" ht="37.5" customHeight="1">
      <c r="A22" s="14" t="s">
        <v>401</v>
      </c>
      <c r="B22" s="14" t="s">
        <v>402</v>
      </c>
      <c r="C22" s="14" t="s">
        <v>403</v>
      </c>
      <c r="D22" s="1"/>
    </row>
    <row r="23" ht="42.0" customHeight="1">
      <c r="A23" s="30">
        <v>0.0</v>
      </c>
      <c r="B23" s="31" t="s">
        <v>405</v>
      </c>
      <c r="C23" s="31" t="s">
        <v>406</v>
      </c>
      <c r="D23" s="1"/>
    </row>
    <row r="24" ht="42.0" customHeight="1">
      <c r="A24" s="30">
        <v>60.0</v>
      </c>
      <c r="B24" s="31" t="s">
        <v>407</v>
      </c>
      <c r="C24" s="31" t="s">
        <v>408</v>
      </c>
      <c r="D24" s="1"/>
    </row>
    <row r="25" ht="42.0" customHeight="1">
      <c r="A25" s="30">
        <v>70.0</v>
      </c>
      <c r="B25" s="31" t="s">
        <v>410</v>
      </c>
      <c r="C25" s="31" t="s">
        <v>411</v>
      </c>
      <c r="D25" s="1"/>
    </row>
    <row r="26" ht="42.0" customHeight="1">
      <c r="A26" s="30">
        <v>80.0</v>
      </c>
      <c r="B26" s="31" t="s">
        <v>412</v>
      </c>
      <c r="C26" s="31" t="s">
        <v>413</v>
      </c>
      <c r="D26" s="1"/>
    </row>
    <row r="27" ht="42.0" customHeight="1">
      <c r="A27" s="30">
        <v>90.0</v>
      </c>
      <c r="B27" s="31" t="s">
        <v>414</v>
      </c>
      <c r="C27" s="31" t="s">
        <v>415</v>
      </c>
      <c r="D27" s="1"/>
    </row>
    <row r="28" ht="27.75" customHeight="1">
      <c r="A28" s="1"/>
      <c r="B28" s="1"/>
      <c r="C28" s="1"/>
      <c r="D28" s="1"/>
    </row>
    <row r="29" ht="27.75" customHeight="1">
      <c r="A29" s="1"/>
      <c r="B29" s="1"/>
      <c r="C29" s="1"/>
      <c r="D29" s="1"/>
    </row>
    <row r="30" ht="75.75" customHeight="1">
      <c r="A30" s="31" t="s">
        <v>418</v>
      </c>
      <c r="B30" s="31" t="s">
        <v>420</v>
      </c>
      <c r="C30" s="31" t="s">
        <v>421</v>
      </c>
      <c r="D30" s="1"/>
    </row>
    <row r="31" ht="75.75" customHeight="1">
      <c r="A31" s="31" t="s">
        <v>422</v>
      </c>
      <c r="B31" s="31" t="s">
        <v>423</v>
      </c>
      <c r="C31" s="31" t="s">
        <v>424</v>
      </c>
      <c r="D31" s="1"/>
    </row>
    <row r="32" ht="75.75" customHeight="1">
      <c r="A32" s="31" t="s">
        <v>426</v>
      </c>
      <c r="B32" s="31" t="s">
        <v>427</v>
      </c>
      <c r="C32" s="31" t="s">
        <v>428</v>
      </c>
      <c r="D32" s="1"/>
    </row>
    <row r="33" ht="75.75" customHeight="1">
      <c r="A33" s="31" t="s">
        <v>429</v>
      </c>
      <c r="B33" s="31" t="s">
        <v>430</v>
      </c>
      <c r="C33" s="31" t="s">
        <v>431</v>
      </c>
      <c r="D33" s="1"/>
    </row>
    <row r="34" ht="75.75" customHeight="1">
      <c r="A34" s="31" t="s">
        <v>432</v>
      </c>
      <c r="B34" s="31" t="s">
        <v>433</v>
      </c>
      <c r="C34" s="31" t="s">
        <v>434</v>
      </c>
      <c r="D34" s="1"/>
    </row>
    <row r="35" ht="75.75" customHeight="1">
      <c r="A35" s="31" t="s">
        <v>436</v>
      </c>
      <c r="B35" s="31" t="s">
        <v>437</v>
      </c>
      <c r="C35" s="31" t="s">
        <v>438</v>
      </c>
      <c r="D35" s="1"/>
    </row>
    <row r="36" ht="75.75" customHeight="1">
      <c r="A36" s="31" t="s">
        <v>439</v>
      </c>
      <c r="B36" s="31" t="s">
        <v>440</v>
      </c>
      <c r="C36" s="31" t="s">
        <v>441</v>
      </c>
      <c r="D36" s="1"/>
    </row>
    <row r="37" ht="27.75" customHeight="1">
      <c r="A37" s="1"/>
      <c r="B37" s="1"/>
      <c r="C37" s="1"/>
      <c r="D37" s="1"/>
    </row>
    <row r="38" ht="72.0" customHeight="1">
      <c r="A38" s="31" t="s">
        <v>442</v>
      </c>
      <c r="B38" s="31" t="s">
        <v>443</v>
      </c>
      <c r="C38" s="31" t="s">
        <v>444</v>
      </c>
      <c r="D38" s="1"/>
    </row>
    <row r="39" ht="72.0" customHeight="1">
      <c r="A39" s="31" t="s">
        <v>446</v>
      </c>
      <c r="B39" s="31" t="s">
        <v>447</v>
      </c>
      <c r="C39" s="31" t="s">
        <v>448</v>
      </c>
      <c r="D39" s="1"/>
    </row>
    <row r="40" ht="72.0" customHeight="1">
      <c r="A40" s="31" t="s">
        <v>449</v>
      </c>
      <c r="B40" s="31" t="s">
        <v>450</v>
      </c>
      <c r="C40" s="31" t="s">
        <v>451</v>
      </c>
      <c r="D40" s="1"/>
    </row>
    <row r="41" ht="72.0" customHeight="1">
      <c r="A41" s="31" t="s">
        <v>452</v>
      </c>
      <c r="B41" s="31" t="s">
        <v>453</v>
      </c>
      <c r="C41" s="31" t="s">
        <v>454</v>
      </c>
      <c r="D41" s="1"/>
    </row>
    <row r="42" ht="72.0" customHeight="1">
      <c r="A42" s="31" t="s">
        <v>455</v>
      </c>
      <c r="B42" s="31" t="s">
        <v>457</v>
      </c>
      <c r="C42" s="31" t="s">
        <v>458</v>
      </c>
      <c r="D42" s="1"/>
    </row>
    <row r="43" ht="27.75" customHeight="1">
      <c r="A43" s="1"/>
      <c r="B43" s="1"/>
      <c r="C43" s="1"/>
      <c r="D43" s="1"/>
    </row>
    <row r="44" ht="27.75" customHeight="1">
      <c r="A44" s="1"/>
      <c r="B44" s="1"/>
      <c r="C44" s="1"/>
      <c r="D44" s="1"/>
    </row>
    <row r="45" ht="27.75" customHeight="1">
      <c r="A45" s="1"/>
      <c r="B45" s="1"/>
      <c r="C45" s="1"/>
      <c r="D45" s="1"/>
    </row>
    <row r="46" ht="27.75" customHeight="1">
      <c r="A46" s="1"/>
      <c r="B46" s="1"/>
      <c r="C46" s="1"/>
      <c r="D46" s="1"/>
    </row>
    <row r="47" ht="27.75" customHeight="1">
      <c r="A47" s="1"/>
      <c r="B47" s="1"/>
      <c r="C47" s="1"/>
      <c r="D47" s="1"/>
    </row>
    <row r="48" ht="27.75" customHeight="1">
      <c r="A48" s="1"/>
      <c r="B48" s="1"/>
      <c r="C48" s="1"/>
      <c r="D48" s="1"/>
    </row>
    <row r="49" ht="27.75" customHeight="1">
      <c r="A49" s="1"/>
      <c r="B49" s="1"/>
      <c r="C49" s="1"/>
      <c r="D49" s="1"/>
    </row>
    <row r="50" ht="27.75" customHeight="1">
      <c r="A50" s="1"/>
      <c r="B50" s="1"/>
      <c r="C50" s="1"/>
      <c r="D50" s="1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