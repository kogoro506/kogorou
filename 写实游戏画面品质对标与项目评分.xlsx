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对标总览" sheetId="1" r:id="rId5"/>
    <sheet state="visible" name="项目对照" sheetId="2" r:id="rId6"/>
    <sheet state="visible" name="评分依据" sheetId="3" r:id="rId7"/>
    <sheet state="visible" name="样本与方法" sheetId="4" r:id="rId8"/>
  </sheets>
  <definedNames/>
  <calcPr/>
</workbook>
</file>

<file path=xl/sharedStrings.xml><?xml version="1.0" encoding="utf-8"?>
<sst xmlns="http://schemas.openxmlformats.org/spreadsheetml/2006/main" count="883" uniqueCount="533">
  <si>
    <t>参考区间与原始依据</t>
  </si>
  <si>
    <t>样本边界与评分方法</t>
  </si>
  <si>
    <t>本项目录入与差距</t>
  </si>
  <si>
    <t>写实游戏画面品质对标</t>
  </si>
  <si>
    <t>数值为本报告的桌面初评；媒体未提供这些单项分数。空白表示该样本缺少足够依据。</t>
  </si>
  <si>
    <t>资料整理：2026-10-12。评分是指定旧版样本的参考，不能代表所有平台或当前补丁。</t>
  </si>
  <si>
    <t>样本-类别</t>
  </si>
  <si>
    <t>对标样本</t>
  </si>
  <si>
    <t>游戏</t>
  </si>
  <si>
    <t>类目</t>
  </si>
  <si>
    <t>维度</t>
  </si>
  <si>
    <t>原权重</t>
  </si>
  <si>
    <t>纳入范围</t>
  </si>
  <si>
    <t>资料截至 2026-10-12｜0–5单项参考区间；按旧版评测推断，非媒体原分。</t>
  </si>
  <si>
    <t>下沿 / 5</t>
  </si>
  <si>
    <t>评测样本</t>
  </si>
  <si>
    <t>上沿 / 5</t>
  </si>
  <si>
    <t>评测日期</t>
  </si>
  <si>
    <t>评分依据（简述）</t>
  </si>
  <si>
    <t>来源编号</t>
  </si>
  <si>
    <t>后续变化</t>
  </si>
  <si>
    <t>适用范围 / 待补</t>
  </si>
  <si>
    <t>适合借鉴</t>
  </si>
  <si>
    <t>本类覆盖权重</t>
  </si>
  <si>
    <t>合金装备Delta：食蛇者</t>
  </si>
  <si>
    <t>权重</t>
  </si>
  <si>
    <t>DELTA-A</t>
  </si>
  <si>
    <t>本项目</t>
  </si>
  <si>
    <t>建议目标</t>
  </si>
  <si>
    <t>合金装备Delta</t>
  </si>
  <si>
    <t>黑神话：悟空</t>
  </si>
  <si>
    <t>地狱之刃2</t>
  </si>
  <si>
    <t>寂静岭2重制</t>
  </si>
  <si>
    <t>恶魔之魂重制</t>
  </si>
  <si>
    <t>影之刃零</t>
  </si>
  <si>
    <t>2025｜UE5｜已发售</t>
  </si>
  <si>
    <t>PC Ultra
2025首发样本</t>
  </si>
  <si>
    <t>PC Ultra，2025首发窗口；结构/动画辅以预设未明的PC评测</t>
  </si>
  <si>
    <t>本项目Build</t>
  </si>
  <si>
    <t>A</t>
  </si>
  <si>
    <t>PC高端
D/E/F：Full RT
2024-08</t>
  </si>
  <si>
    <t>整体视觉设计</t>
  </si>
  <si>
    <t>Xbox Series X
原版30fps
2024-05</t>
  </si>
  <si>
    <t>平台 / 模式</t>
  </si>
  <si>
    <t>基础PS5
品质30fps
2024-10</t>
  </si>
  <si>
    <t>基础PS5
品质30fps
2020历史例外</t>
  </si>
  <si>
    <t>未发售
计划2026-10-29
全部待评</t>
  </si>
  <si>
    <t>2025-10 v1.2.1另有主机模式与性能调整；本行不是2026当前PS5结论。</t>
  </si>
  <si>
    <t>最接近的系列重制参照；优先看场景、材质、光照与动作融合。</t>
  </si>
  <si>
    <t>A 整体视觉设计</t>
  </si>
  <si>
    <t>样本口径</t>
  </si>
  <si>
    <t>D-CB1 / D-CB2 / DELTA_DSO / DELTA_GR / D-K2 / D-K3</t>
  </si>
  <si>
    <t>整体重制完成度高</t>
  </si>
  <si>
    <t>D-CB1 / DELTA_DSO</t>
  </si>
  <si>
    <t>方向性初评，尚未按60项实机复验</t>
  </si>
  <si>
    <t>2024｜UE5｜已发售</t>
  </si>
  <si>
    <t>PC高端样本组合，2024-08；D/E/F采用Full RT Ultra，J采用DLSS；非单机统一预设实测</t>
  </si>
  <si>
    <t>2025-10 PS5新增原生60Hz性能选项；旧PS5帧生成分析不能代表当前版本。</t>
  </si>
  <si>
    <t>动作游戏参照；看光照、阴影、反射与战斗特效，另查运动清晰度。</t>
  </si>
  <si>
    <t>WK_DF_PC_FULL / WK_DSO_PC / WK_CB1 / WK_CB2 / WK_CB3 / WK_CB4 / WK_PATCH_2025</t>
  </si>
  <si>
    <t>地狱之刃2：塞娜的史诗</t>
  </si>
  <si>
    <t>Xbox Series X，2024原版30fps；不能视为PS5 Enhanced实测</t>
  </si>
  <si>
    <t>2025-08 Enhanced登陆PS5并加入新模式；本表保留证据更完整的原版Xbox样本。</t>
  </si>
  <si>
    <t>角色、自然光、大气与整体电影感上限；受控玩法负荷不等于高速群战预算。</t>
  </si>
  <si>
    <t>HB_DF_FULL_2024 / HB_INTERVIEW / HB_ENHANCED_OFFICIAL</t>
  </si>
  <si>
    <t>寂静岭2重制版</t>
  </si>
  <si>
    <t>基础PS5，品质模式30fps，2024首发；模式未明的同平台评测只辅助美术判断</t>
  </si>
  <si>
    <t>补丁编号未核实；保留首发档案，不能据此断言最新版本仍有同样缺陷。</t>
  </si>
  <si>
    <t>暗部光照、潮湿反射、雾与空间气氛；高速战斗另评。</t>
  </si>
  <si>
    <t>SH_DF / SH_PS / SH_TR</t>
  </si>
  <si>
    <t>恶魔之魂重制版</t>
  </si>
  <si>
    <t>2020｜非UE｜历史例外</t>
  </si>
  <si>
    <t>基础PS5，品质模式4K/30fps，2020首发；模式未明的观察只作辅助</t>
  </si>
  <si>
    <t>Bluepoint Engine；不满足2022之后UE条件，单列作历史完成度参考。</t>
  </si>
  <si>
    <t>验证传统技术也能形成成熟光色、材质和特效；不以引擎代际直接评级。</t>
  </si>
  <si>
    <t>DS_ARS / DS_GS / DS_VGC / DS_GDC</t>
  </si>
  <si>
    <t>影之刃零（待发售）</t>
  </si>
  <si>
    <t>2026计划｜UE5｜未发售</t>
  </si>
  <si>
    <t>截至2026-10-12未发售；2025 Gamescom PC最高+RT演示只作观察</t>
  </si>
  <si>
    <t>官方计划2026-10-29发售（部分地区10-28）；演示不代表PS5终版商品。</t>
  </si>
  <si>
    <t>保留动作、衣物、刀光、命中反馈观察席位，终版推出后填分。</t>
  </si>
  <si>
    <t>P-PS26 / P-PS23 / P-DF</t>
  </si>
  <si>
    <t>分值 / 5</t>
  </si>
  <si>
    <t>沿用的含义</t>
  </si>
  <si>
    <t>桌面初评如何使用</t>
  </si>
  <si>
    <t>DELTA-B</t>
  </si>
  <si>
    <t>严重失效</t>
  </si>
  <si>
    <t>B</t>
  </si>
  <si>
    <t>仅有实证时记0；缺数据留空。</t>
  </si>
  <si>
    <t>场景与几何</t>
  </si>
  <si>
    <t>编号</t>
  </si>
  <si>
    <t>明显落后</t>
  </si>
  <si>
    <t>常态游玩中明显损害可信度或辨识。</t>
  </si>
  <si>
    <t>低于基本合格</t>
  </si>
  <si>
    <t>有表现但常见镜头缺陷明显。</t>
  </si>
  <si>
    <t>项目分 / 5</t>
  </si>
  <si>
    <t>环境细节与植被丰富</t>
  </si>
  <si>
    <t>参考下沿</t>
  </si>
  <si>
    <t>基本合格</t>
  </si>
  <si>
    <t>主要视觉目标成立，缺陷仍可见。</t>
  </si>
  <si>
    <t>DELTA_GR / D-CB1</t>
  </si>
  <si>
    <t>参考上沿</t>
  </si>
  <si>
    <t>PC场景组织；GR预设未注明，不能用来推断Ultra的全部几何稳定性</t>
  </si>
  <si>
    <t>项目－参考下沿</t>
  </si>
  <si>
    <t>高品质</t>
  </si>
  <si>
    <t>多数游玩场景表现稳定，缺陷较轻。</t>
  </si>
  <si>
    <t>项目－参考上沿</t>
  </si>
  <si>
    <t>建议目标 / 5</t>
  </si>
  <si>
    <t>到目标可增分</t>
  </si>
  <si>
    <t>旗舰候选</t>
  </si>
  <si>
    <t>项目证据 / 待办</t>
  </si>
  <si>
    <t>初评区间上沿代表需现场验证的旗舰水准；正式5分须压力验收。</t>
  </si>
  <si>
    <t>输入状态</t>
  </si>
  <si>
    <t>DELTA-C</t>
  </si>
  <si>
    <t>基础指数权重</t>
  </si>
  <si>
    <t>C</t>
  </si>
  <si>
    <t>材质与纹理</t>
  </si>
  <si>
    <t>大量高分辨率纹理</t>
  </si>
  <si>
    <t>计算 / 规则</t>
  </si>
  <si>
    <t>DELTA_DSO</t>
  </si>
  <si>
    <t>定义</t>
  </si>
  <si>
    <t>没有具体贴图尺寸；多光照材质响应仍待核验</t>
  </si>
  <si>
    <t>使用限制</t>
  </si>
  <si>
    <t>DELTA-D</t>
  </si>
  <si>
    <t>单项参考区间</t>
  </si>
  <si>
    <t>0–5区间，由原始观察映射到本项目尺度</t>
  </si>
  <si>
    <t>D</t>
  </si>
  <si>
    <t>区间不是统计置信区间，0.5分为粗粒度判断。没有把媒体综合评分除以10。</t>
  </si>
  <si>
    <t>灯光与间接光</t>
  </si>
  <si>
    <t>照明一致；降档会减弱层次</t>
  </si>
  <si>
    <t>视觉基础指数</t>
  </si>
  <si>
    <t>DELTA_DSO / D-CB2</t>
  </si>
  <si>
    <t>A、B、C、D、H五类，原权重合计52，再归一至100</t>
  </si>
  <si>
    <t>PC Ultra；不转填基础PS5</t>
  </si>
  <si>
    <t>只衡量构图、场景、材质、灯光、角色；不能叫作全商品总分。</t>
  </si>
  <si>
    <t>指数公式</t>
  </si>
  <si>
    <t>DELTA-E</t>
  </si>
  <si>
    <t>Σ(五类分数×原权重) ÷ 5 ÷ 52 × 100</t>
  </si>
  <si>
    <t>上下沿分别计算；五类全部有分才显示。重叠区间不排先后。</t>
  </si>
  <si>
    <t>E</t>
  </si>
  <si>
    <t>阴影与接触关系</t>
  </si>
  <si>
    <t>桌面全维度区间</t>
  </si>
  <si>
    <t>预设变化会影响阴影，但缺少接触关系专项评价</t>
  </si>
  <si>
    <t>Σ(12类分数×原权重) ÷ 5</t>
  </si>
  <si>
    <t>D-CB2</t>
  </si>
  <si>
    <t>12类都有初评才显示。即使有区间，仍未完成60项实机验收。</t>
  </si>
  <si>
    <t>待补同版本实机录像和专项检查</t>
  </si>
  <si>
    <t>类别覆盖权重</t>
  </si>
  <si>
    <t>已提供区间的类别原权重之和 ÷ 100</t>
  </si>
  <si>
    <t>仅表示桌面资料涉及哪些类目，不是60项证据完整率。</t>
  </si>
  <si>
    <t>DELTA-F</t>
  </si>
  <si>
    <t>F</t>
  </si>
  <si>
    <t>本项目类别分</t>
  </si>
  <si>
    <t>反射与环境照明输入</t>
  </si>
  <si>
    <t>把原60项表同类别的5个合成分取平均，填入黄色格</t>
  </si>
  <si>
    <t>合成分沿用典型70%＋压力30%。不要以单张最佳截图代替。</t>
  </si>
  <si>
    <t>能确认反射路径，缺少完整结果评价</t>
  </si>
  <si>
    <t>D-CB1</t>
  </si>
  <si>
    <t>本项目加分空间</t>
  </si>
  <si>
    <t>MAX(0,目标类别分－本项目类别分) ÷ 5 × 类别权重</t>
  </si>
  <si>
    <t>只是分值收益；需结合GPU成本、制作工时及修复依赖决定顺序。</t>
  </si>
  <si>
    <t>DELTA-G</t>
  </si>
  <si>
    <t>G</t>
  </si>
  <si>
    <t>大气与雾</t>
  </si>
  <si>
    <t>跨平台对标</t>
  </si>
  <si>
    <t>PC、Xbox与PS5分别标明，只比较视觉完成度方向</t>
  </si>
  <si>
    <t>没有足够的成品分项评测</t>
  </si>
  <si>
    <t>基础PS5性能承诺必须用基础PS5同Build、同模式实测。</t>
  </si>
  <si>
    <t>帧率选择</t>
  </si>
  <si>
    <t>DELTA-H</t>
  </si>
  <si>
    <t>60 / 40 / 30分别对应约16.67 / 25.00 / 33.33毫秒</t>
  </si>
  <si>
    <t>40模式还须说明120Hz显示条件；帧生成与实际渲染帧率分开记录。</t>
  </si>
  <si>
    <t>H</t>
  </si>
  <si>
    <t>角色与动作呈现</t>
  </si>
  <si>
    <t>正式商品评级</t>
  </si>
  <si>
    <t>模型好；面部与动作有短板</t>
  </si>
  <si>
    <t>使用原60项表及门槛，80为建议高品质目标，85为争取值</t>
  </si>
  <si>
    <t>D-CB1 / DELTA_GR / DELTA_DSO</t>
  </si>
  <si>
    <t>这些是项目内部建议线，不是行业认证，也不是未来市场保证。</t>
  </si>
  <si>
    <t>动作问题不因高分辨率角色模型而被抵消</t>
  </si>
  <si>
    <t>DELTA-I</t>
  </si>
  <si>
    <t>I</t>
  </si>
  <si>
    <t>特效与战斗反馈</t>
  </si>
  <si>
    <t>先补的数据</t>
  </si>
  <si>
    <t>要解决的问题</t>
  </si>
  <si>
    <t>DELTA-J</t>
  </si>
  <si>
    <t>建议采样</t>
  </si>
  <si>
    <t>J</t>
  </si>
  <si>
    <t>运动画质与重建</t>
  </si>
  <si>
    <t>平台、Build、模式、输出与内部解析度</t>
  </si>
  <si>
    <t>帧时间资料不能单独替代重建画质评价</t>
  </si>
  <si>
    <t>防止最佳截图与实际交付口径不一致</t>
  </si>
  <si>
    <t>基础PS5；每模式保存固定路线原始视频。</t>
  </si>
  <si>
    <t>典型 / 最大战斗负荷的画面与帧时间</t>
  </si>
  <si>
    <t>找出降画质究竟省在哪里</t>
  </si>
  <si>
    <t>DELTA-K</t>
  </si>
  <si>
    <t>至少覆盖室外、室内、夜间、Boss、粒子最重段与切区。</t>
  </si>
  <si>
    <t>K</t>
  </si>
  <si>
    <t>后期与显示</t>
  </si>
  <si>
    <t>GI、遮蔽与反射开关前后对照</t>
  </si>
  <si>
    <t>B 场景与几何</t>
  </si>
  <si>
    <t>支持HDR，不代表已验证显示效果</t>
  </si>
  <si>
    <t>AO白图不能证明全部遮蔽关闭</t>
  </si>
  <si>
    <t>静态机位＋移动镜头，并注明Lumen等实际渲染路径。</t>
  </si>
  <si>
    <t>雾、后期与曝光的设计目标及录像</t>
  </si>
  <si>
    <t>DELTA-L</t>
  </si>
  <si>
    <t>清澈场景没有明显雾不等于品质低</t>
  </si>
  <si>
    <t>逆光、远景、室内外过渡、技能闪光场景。</t>
  </si>
  <si>
    <t>L</t>
  </si>
  <si>
    <t>全流程一致性</t>
  </si>
  <si>
    <t>有游玩/演出连续性评价，未完成长时与压力检查</t>
  </si>
  <si>
    <t>HDRI源文件、SkyLight捕获设置与实际画面</t>
  </si>
  <si>
    <t>4K/8K只是输入信息，不能单独给分</t>
  </si>
  <si>
    <t>近景反射、天空背景、接缝、高亮范围和压缩影响。</t>
  </si>
  <si>
    <t>WUKONG-A</t>
  </si>
  <si>
    <t>同场景60 / 40 / 30画质方案</t>
  </si>
  <si>
    <t>落实总监允许降低60fps优先度的决定</t>
  </si>
  <si>
    <t>记录每项画质收益、响应、最低帧、帧时间和显存成本。</t>
  </si>
  <si>
    <t>主题与效果协调</t>
  </si>
  <si>
    <t>WK_DF_PC_FULL / WK_CB4</t>
  </si>
  <si>
    <t>PC高端历史样本整类方向性初评；非五子项全部验收</t>
  </si>
  <si>
    <t>WUKONG-B</t>
  </si>
  <si>
    <t>主体细节强；植被仍有跳变</t>
  </si>
  <si>
    <t>WK_DF_PC_FULL / WK_CB3</t>
  </si>
  <si>
    <t>PC高端历史样本整类方向性初评</t>
  </si>
  <si>
    <t>WUKONG-C</t>
  </si>
  <si>
    <t>角色纹理好；部分环境纹理有缺陷</t>
  </si>
  <si>
    <t>WK_DF_PC_FULL / WK_DSO_PC</t>
  </si>
  <si>
    <t>PC高端历史样本整类方向性初评；区间较宽体现覆盖不足</t>
  </si>
  <si>
    <t>WUKONG-D</t>
  </si>
  <si>
    <t>Full RT改善光照关系</t>
  </si>
  <si>
    <t>WK_CB2</t>
  </si>
  <si>
    <t>PC Full RT Ultra、文章所示样本；内部推估</t>
  </si>
  <si>
    <t>WUKONG-E</t>
  </si>
  <si>
    <t>Full RT减少阴影闪烁</t>
  </si>
  <si>
    <t>WK_CB1 / WK_CB2</t>
  </si>
  <si>
    <t>PC Full RT Ultra阴影/遮挡子项；非独立AO配置分</t>
  </si>
  <si>
    <t>WUKONG-F</t>
  </si>
  <si>
    <t>Full RT补充离屏反射</t>
  </si>
  <si>
    <t>仅反射子项；不能推断8K HDRI</t>
  </si>
  <si>
    <t>WUKONG-G</t>
  </si>
  <si>
    <t>开场雾可受动作扰动</t>
  </si>
  <si>
    <t>WK_DF_PC_FULL</t>
  </si>
  <si>
    <t>仅方向性参考；互动雾强项来自开场，普通路线与快速转镜待补</t>
  </si>
  <si>
    <t>WUKONG-H</t>
  </si>
  <si>
    <t>敌人细节与次级动画丰富</t>
  </si>
  <si>
    <t>WUKONG-I</t>
  </si>
  <si>
    <t>粒子参与预兆与击败反馈</t>
  </si>
  <si>
    <t>已有视觉反馈证据；多敌人/技能叠加遮挡与负荷未验</t>
  </si>
  <si>
    <t>WUKONG-J</t>
  </si>
  <si>
    <t>DLSS细植被仍闪；穿区卡顿</t>
  </si>
  <si>
    <t>WK_CB1 / WK_CB3</t>
  </si>
  <si>
    <t>PC DLSS 2024历史样本；未平均FSR/TSR，也未代填2026改善</t>
  </si>
  <si>
    <t>WUKONG-K</t>
  </si>
  <si>
    <t>C 材质与纹理</t>
  </si>
  <si>
    <t>缺少曝光与HDR专项评价</t>
  </si>
  <si>
    <t>已见景深和运动模糊观察；避免与J重建缺陷重复扣分</t>
  </si>
  <si>
    <t>WUKONG-L</t>
  </si>
  <si>
    <t>场景之间完成度有起伏</t>
  </si>
  <si>
    <t>WK_CB3 / WK_CB4</t>
  </si>
  <si>
    <t>仅指章节观感起伏；不把J的穿区卡顿再次计入扣分</t>
  </si>
  <si>
    <t>HELLBLADE-A</t>
  </si>
  <si>
    <t>镜头与画面风格统一</t>
  </si>
  <si>
    <t>HB_DF_FULL_2024 / HB_INTERVIEW</t>
  </si>
  <si>
    <t>上沿5分仍须压力场景验证</t>
  </si>
  <si>
    <t>HELLBLADE-B</t>
  </si>
  <si>
    <t>几何密度高，切换稳定</t>
  </si>
  <si>
    <t>HB_DF_FULL_2024</t>
  </si>
  <si>
    <t>极近距离原始资产仍有局限</t>
  </si>
  <si>
    <t>HELLBLADE-C</t>
  </si>
  <si>
    <t>皮肤和表面细节突出</t>
  </si>
  <si>
    <t>环境材料跨光照一致性未全面量测</t>
  </si>
  <si>
    <t>HELLBLADE-D</t>
  </si>
  <si>
    <t>自然光与间接光可信</t>
  </si>
  <si>
    <t>动态GI全场景收敛未复验</t>
  </si>
  <si>
    <t>HELLBLADE-E</t>
  </si>
  <si>
    <t>小物阴影与遮蔽精细</t>
  </si>
  <si>
    <t>跳跃/斜坡接触仍需独立检查</t>
  </si>
  <si>
    <t>HELLBLADE-F</t>
  </si>
  <si>
    <t>动态火把反射有SSR缺陷</t>
  </si>
  <si>
    <t>不能把此例外推为全部反射失效</t>
  </si>
  <si>
    <t>HELLBLADE-G</t>
  </si>
  <si>
    <t>雾云烟融合，噪点少</t>
  </si>
  <si>
    <t>不是用雾量大小评分</t>
  </si>
  <si>
    <t>HELLBLADE-H</t>
  </si>
  <si>
    <t>面部、眼睛与微表情突出</t>
  </si>
  <si>
    <t>不以受控叙事镜头代替高速动作全部要求</t>
  </si>
  <si>
    <t>HELLBLADE-I</t>
  </si>
  <si>
    <t>雨水海浪与流动效果成熟</t>
  </si>
  <si>
    <t>环境效果强；高速群战反馈另验</t>
  </si>
  <si>
    <t>D 灯光与间接光</t>
  </si>
  <si>
    <t>HELLBLADE-J</t>
  </si>
  <si>
    <t>画面偏柔，原版30节奏稳定</t>
  </si>
  <si>
    <t>30fps本身不扣分；没有单独输入延迟量测</t>
  </si>
  <si>
    <t>HELLBLADE-K</t>
  </si>
  <si>
    <t>电影镜头效果好；HDR待验</t>
  </si>
  <si>
    <t>缺少完整曝光、HDR显示校准分析</t>
  </si>
  <si>
    <t>HELLBLADE-L</t>
  </si>
  <si>
    <t>主要体验的呈现持续稳定</t>
  </si>
  <si>
    <t>长时回访、异常操作与所有章节未按本表重跑</t>
  </si>
  <si>
    <t>SH2-A</t>
  </si>
  <si>
    <t>恐怖氛围和重制空间的视觉表达一致。</t>
  </si>
  <si>
    <t>SH_DF / SH_TR</t>
  </si>
  <si>
    <t>美术方向优异不等于所有技术项顶级。</t>
  </si>
  <si>
    <t>SH2-B</t>
  </si>
  <si>
    <t>医院、城镇与室内细节有明确制作投入。</t>
  </si>
  <si>
    <t>SH_TR / SH_PS</t>
  </si>
  <si>
    <t>未测LOD/流送；PS原创评测模式未指定。</t>
  </si>
  <si>
    <t>SH2-C</t>
  </si>
  <si>
    <t>污迹、潮湿肉体、皮肤与布料细节得到具体描述。</t>
  </si>
  <si>
    <t>SH_TR / SH_DF</t>
  </si>
  <si>
    <t>没有texel密度和全场景纹理驻留测量，区间较宽。</t>
  </si>
  <si>
    <t>SH2-D</t>
  </si>
  <si>
    <t>品质模式Lumen在存档红光及货架阴影层次上更完整。</t>
  </si>
  <si>
    <t>SH_DF</t>
  </si>
  <si>
    <t>未完成全流程GI泄漏、动态收敛核验。</t>
  </si>
  <si>
    <t>SH2-E</t>
  </si>
  <si>
    <t>仅有局部光照和阴影设置描述。</t>
  </si>
  <si>
    <t>没有脚底接触、小物件遮蔽和移动稳定的足够评测。</t>
  </si>
  <si>
    <t>SH2-F</t>
  </si>
  <si>
    <t>品质模式水洼反射的时间稳定明显优于性能模式。</t>
  </si>
  <si>
    <t>不证明所有反射材质和出屏行为均优秀。</t>
  </si>
  <si>
    <t>SH2-G</t>
  </si>
  <si>
    <t>E 阴影与接触关系</t>
  </si>
  <si>
    <t>体积雾有效塑造纵深与气氛。</t>
  </si>
  <si>
    <t>SH_DF / SH_TR / SH_PS</t>
  </si>
  <si>
    <t>PS评测另见雾中建筑轮廓异常，模式未标，故不推满分。</t>
  </si>
  <si>
    <t>SH2-H</t>
  </si>
  <si>
    <t>面部、皮肤和怪物动作有表现力。</t>
  </si>
  <si>
    <t>另有脸部模糊观察；高速斩击类动作不适用同等预算推断。</t>
  </si>
  <si>
    <t>SH2-I</t>
  </si>
  <si>
    <t>近战重量感有评价。</t>
  </si>
  <si>
    <t>SH_PS / SH_TR</t>
  </si>
  <si>
    <t>反馈混合声音、震动与玩法；不足以独立给视觉特效项打分。</t>
  </si>
  <si>
    <t>SH2-J</t>
  </si>
  <si>
    <t>品质模式较清楚且反射更稳，但首发30FPS仍有失守。</t>
  </si>
  <si>
    <t>无完整拖影/细线/快速转镜测试；不能用性能模式40–50FPS扣品质模式。</t>
  </si>
  <si>
    <t>SH2-K</t>
  </si>
  <si>
    <t>未取得品质模式曝光/色调/HDR的专项评价。</t>
  </si>
  <si>
    <t>不由整体气氛漂亮代推后期盒子质量。</t>
  </si>
  <si>
    <t>SH2-L</t>
  </si>
  <si>
    <t>DF前六小时；TR多周目为混合模式。</t>
  </si>
  <si>
    <t>无固定品质模式全流程/长时/压力一致性数据。</t>
  </si>
  <si>
    <t>DEMONS-A</t>
  </si>
  <si>
    <t>建筑、敌人与光色构成统一。</t>
  </si>
  <si>
    <t>DS_GS / DS_VGC</t>
  </si>
  <si>
    <t>2020高评价不能直接等同2026领先。</t>
  </si>
  <si>
    <t>DEMONS-B</t>
  </si>
  <si>
    <t>环境几何细节丰富</t>
  </si>
  <si>
    <t>DS_ARS / DS_VGC</t>
  </si>
  <si>
    <t>历史高完成度参考；不由2020赞誉直接推定当前旗舰5分</t>
  </si>
  <si>
    <t>DEMONS-C</t>
  </si>
  <si>
    <t>F 反射与环境照明输入</t>
  </si>
  <si>
    <t>纹理精细。</t>
  </si>
  <si>
    <t>DS_ARS</t>
  </si>
  <si>
    <t>未独立核验多光照PBR。</t>
  </si>
  <si>
    <t>DEMONS-D</t>
  </si>
  <si>
    <t>局部光色层次和动态受光表现成熟。</t>
  </si>
  <si>
    <t>DS_GS / DS_ARS</t>
  </si>
  <si>
    <t>光场探针GI的存在本身不计分。</t>
  </si>
  <si>
    <t>DEMONS-E</t>
  </si>
  <si>
    <t>动态阴影与遮蔽效果明确。</t>
  </si>
  <si>
    <t>DS_ARS / DS_GDC</t>
  </si>
  <si>
    <t>GDC只确认技术；复杂落地/斜坡接触未验。</t>
  </si>
  <si>
    <t>DEMONS-F</t>
  </si>
  <si>
    <t>缺少专项结果证据。</t>
  </si>
  <si>
    <t>无光追不是扣分理由。</t>
  </si>
  <si>
    <t>DEMONS-G</t>
  </si>
  <si>
    <t>气氛评价高。</t>
  </si>
  <si>
    <t>DS_VGC</t>
  </si>
  <si>
    <t>气氛与雾质量不同，缺雾动态验证。</t>
  </si>
  <si>
    <t>DEMONS-H</t>
  </si>
  <si>
    <t>Boss建模与攻击动作增强威慑力。</t>
  </si>
  <si>
    <t>面部、脚IK和全部关节变形未验。</t>
  </si>
  <si>
    <t>DEMONS-I</t>
  </si>
  <si>
    <t>旗帜燃烧与飘散碎屑、火焰攻击与环境有联系。</t>
  </si>
  <si>
    <t>DS_VGC / DS_GS</t>
  </si>
  <si>
    <t>未测大规模多人特效压力。</t>
  </si>
  <si>
    <t>DEMONS-J</t>
  </si>
  <si>
    <t>品质30FPS节奏稳定。</t>
  </si>
  <si>
    <t>不挪用性能60FPS优势；快速运动清晰度待复核。</t>
  </si>
  <si>
    <t>DEMONS-K</t>
  </si>
  <si>
    <t>HDR光色观感突出。</t>
  </si>
  <si>
    <t>DS_ARS / DS_GS</t>
  </si>
  <si>
    <t>曝光/峰值/暗部不是仪器测量。</t>
  </si>
  <si>
    <t>DEMONS-L</t>
  </si>
  <si>
    <t>VGC在特定区域报告多次崩溃与掉帧。</t>
  </si>
  <si>
    <t>模式未明且与其他评测不同，需品质模式复验，不能武断高分。</t>
  </si>
  <si>
    <t>G 大气与雾</t>
  </si>
  <si>
    <t>PHANTOM-A</t>
  </si>
  <si>
    <t>未发售；演示不计商品参考分</t>
  </si>
  <si>
    <t>P-PS26 / P-DF</t>
  </si>
  <si>
    <t>待终版实测</t>
  </si>
  <si>
    <t>PHANTOM-B</t>
  </si>
  <si>
    <t>PHANTOM-C</t>
  </si>
  <si>
    <t>PHANTOM-D</t>
  </si>
  <si>
    <t>PHANTOM-E</t>
  </si>
  <si>
    <t>PHANTOM-F</t>
  </si>
  <si>
    <t>PHANTOM-G</t>
  </si>
  <si>
    <t>PHANTOM-H</t>
  </si>
  <si>
    <t>PHANTOM-I</t>
  </si>
  <si>
    <t>PHANTOM-J</t>
  </si>
  <si>
    <t>PHANTOM-K</t>
  </si>
  <si>
    <t>PHANTOM-L</t>
  </si>
  <si>
    <t>出版方 / 标题</t>
  </si>
  <si>
    <t>发表日期</t>
  </si>
  <si>
    <t>读取范围</t>
  </si>
  <si>
    <t>原文链接</t>
  </si>
  <si>
    <t>资料类型</t>
  </si>
  <si>
    <t>ComputerBase / Wolfgang Andermahr｜Metal Gear Solid Delta: Snake Eater im Test: Schönes UE5-Remake mit 60-FPS-Limit und PS2-Ladefrequenz</t>
  </si>
  <si>
    <t>PC评测版；精确build未披露</t>
  </si>
  <si>
    <t>文字全文</t>
  </si>
  <si>
    <t>https://www.computerbase.de/artikel/gaming/metal-gear-solid-snake-eater-remaster-benchmark-test.94004/</t>
  </si>
  <si>
    <t>原创评测 / 访谈</t>
  </si>
  <si>
    <t>ComputerBase / Wolfgang Andermahr｜Metal Gear Solid Delta: Snake Eater im Test: Benchmarks (WQHD, UWQHD &amp; UHD), Frametimes und VRAM</t>
  </si>
  <si>
    <t>PC Ultra；Ryzen 7 9800X3D；20秒Ponizovje Süd河流/树林高负载段；1440p/2160p输出配Quality超分</t>
  </si>
  <si>
    <t>https://www.computerbase.de/artikel/gaming/metal-gear-solid-snake-eater-remaster-benchmark-test.94004/seite-2</t>
  </si>
  <si>
    <t>D-K2</t>
  </si>
  <si>
    <t>KONAMI｜Ver.1.2.1 配信</t>
  </si>
  <si>
    <t>PS5/Xbox/Steam</t>
  </si>
  <si>
    <t>https://www.konami.com/mg/mgs3r/news/asia/ja/update_121</t>
  </si>
  <si>
    <t>官方公告</t>
  </si>
  <si>
    <t>D-K3</t>
  </si>
  <si>
    <t>KONAMI｜Ver.1.2.4 配信</t>
  </si>
  <si>
    <t>全平台</t>
  </si>
  <si>
    <t>https://www.konami.com/mg/mgs3r/news/asia/ja/update_124</t>
  </si>
  <si>
    <t>DSOGaming｜Metal Gear Solid Delta: Snake Eater PC Performance Analysis</t>
  </si>
  <si>
    <t>PC，首发时期，Ultra；AMD Ryzen 9 7950X3D、32GB DDR5-6000、多显卡；基准场景为最初对战Ocelot小队区域</t>
  </si>
  <si>
    <t>https://www.dsogaming.com/pc-performance-analyses/metal-gear-solid-delta-snake-eater-pc-performance-analysis/</t>
  </si>
  <si>
    <t>DELTA_GR</t>
  </si>
  <si>
    <t>GamesRadar+｜Metal Gear Solid Delta: Snake Eater review: Little surprised me in this rigid remake, but it's still one of my favorite games of all time</t>
  </si>
  <si>
    <t>PC，发行商提供评测码；未披露硬件、分辨率及预设</t>
  </si>
  <si>
    <t>https://www.gamesradar.com/games/metal-gear/metal-gear-solid-delta-snake-eater-review/</t>
  </si>
  <si>
    <t>WK_CB1</t>
  </si>
  <si>
    <t>Wolfgang Andermahr / Max Doll, ComputerBase｜Black Myth: Wukong im Test — Benchmarks und Analysen zum GPU-Fresser-Hit</t>
  </si>
  <si>
    <t>H 角色与动作呈现</t>
  </si>
  <si>
    <t>PC高端画质，2024-08；配置依原文</t>
  </si>
  <si>
    <t>https://www.computerbase.de/artikel/gaming/black-myth-wukong-benchmark-test.89281/</t>
  </si>
  <si>
    <t>ComputerBase｜Full Raytracing in der Grafikanalyse</t>
  </si>
  <si>
    <t>https://www.computerbase.de/artikel/gaming/black-myth-wukong-benchmark-test.89281/seite-2</t>
  </si>
  <si>
    <t>WK_CB3</t>
  </si>
  <si>
    <t>ComputerBase｜Benchmarks (FHD, WQHD &amp; UHD), Frametimes und VRAM</t>
  </si>
  <si>
    <t>公开文字内容</t>
  </si>
  <si>
    <t>https://www.computerbase.de/artikel/gaming/black-myth-wukong-benchmark-test.89281/seite-3</t>
  </si>
  <si>
    <t>WK_CB4</t>
  </si>
  <si>
    <t>ComputerBase｜Spielkritik und Fazit — 仅使用作者自己的Fazit</t>
  </si>
  <si>
    <t>https://www.computerbase.de/artikel/gaming/black-myth-wukong-benchmark-test.89281/seite-4</t>
  </si>
  <si>
    <t>Alex Battaglia, Digital Foundry / Eurogamer｜Análise técnica da Digital Foundry a Black Myth: Wukong</t>
  </si>
  <si>
    <t>PC高端；Full RT与软件Lumen对比，未把全文全部观察强行标为单一GPU/原生4K固定模式</t>
  </si>
  <si>
    <t>https://www.eurogamer.pt/digitalfoundry-2024-black-myth-wukong-review-analise-tecnica-pc</t>
  </si>
  <si>
    <t>WK_DSO_PC</t>
  </si>
  <si>
    <t>John Papadopoulos, DSOGaming｜Black Myth: Wukong PC Performance Analysis</t>
  </si>
  <si>
    <t>Ryzen 9 7950X3D、32GB DDR5-6000、多GPU；正文主测试最高设置且关闭RT，RT另篇</t>
  </si>
  <si>
    <t>https://www.dsogaming.com/pc-performance-analyses/black-myth-wukong-pc-performance-analysis/</t>
  </si>
  <si>
    <t>WK_PATCH_2025</t>
  </si>
  <si>
    <t>游戏科学｜《黑神话：悟空》1.0.20.21756 更新公告【PS5、PC】</t>
  </si>
  <si>
    <t>PS5版本1.0.20.21756；新版Performance与保留的旧版Performance</t>
  </si>
  <si>
    <t>https://gamesci.cn/wukong/news/detail?id=235</t>
  </si>
  <si>
    <t>John Linneman / Digital Foundry，Eurogamer官方葡语版本｜Análise técnica da Digital Foundry a Hellblade 2! Um momento marcante na evolução dos gráficos em tempo real!</t>
  </si>
  <si>
    <t>Xbox Series X原版30fps；部分PC说明</t>
  </si>
  <si>
    <t>https://www.eurogamer.pt/digitalfoundry-2024-senuas-saga-hellblade-2-e-um-momento-marcante-na-evolucao-dos-graficos-em-tempo-real</t>
  </si>
  <si>
    <t>HB_INTERVIEW</t>
  </si>
  <si>
    <t>Ian Dean；采访VFX总监Mark Slater-Tunstill、环境美术总监Dan Attwell｜The making of Senua's Saga: Hellblade 2 — Ninja Theory interviewed</t>
  </si>
  <si>
    <t>原作制作流程，不是PS5参数表</t>
  </si>
  <si>
    <t>https://www.creativebloq.com/3d/video-game-design/the-making-of-senua-s-saga-hellblade-2</t>
  </si>
  <si>
    <t>开发者访谈</t>
  </si>
  <si>
    <t>HB_ENHANCED_OFFICIAL</t>
  </si>
  <si>
    <t>Will Potter / Ninja Theory｜Senua’s Saga: Hellblade II Enhanced Arrives August 12</t>
  </si>
  <si>
    <t>2025-08-12 Enhanced；PS5首次发售，同时Xbox与PC更新</t>
  </si>
  <si>
    <t>https://news.xbox.com/en-us/2025/06/25/senuas-saga-hellblade-ii-enhanced-update/</t>
  </si>
  <si>
    <t>Thomas Morgan / Digital Foundry｜Silent Hill 2 原创评测</t>
  </si>
  <si>
    <t>基础PS5；模式差异见原文</t>
  </si>
  <si>
    <t>检索索引正文片段；非全文</t>
  </si>
  <si>
    <t>https://www.eurogamer.pt/remake-de-silent-hill-2-e-autentico-e-convincente-mas-os-problemas-tecnicos-tem-de-ser-resolvidos</t>
  </si>
  <si>
    <t>原创媒体评测</t>
  </si>
  <si>
    <t>SH_PS</t>
  </si>
  <si>
    <t>Liam Croft｜Silent Hill 2 原创评测</t>
  </si>
  <si>
    <t>https://www.pushsquare.com/reviews/ps5/silent-hill-2</t>
  </si>
  <si>
    <t>SH_TR</t>
  </si>
  <si>
    <t>Sarah Thwaites｜Silent Hill 2 原创评测</t>
  </si>
  <si>
    <t>https://www.techradar.com/gaming/silent-hill-2-remake-review</t>
  </si>
  <si>
    <t>Sam Machkovech｜Demon’s Souls 原创评测</t>
  </si>
  <si>
    <t>基础PS5；画质/性能模式</t>
  </si>
  <si>
    <t>https://arstechnica.com/gaming/2020/11/demons-souls-ps5-review-a-gorgeous-game-worth-dying-repeatedly-for/</t>
  </si>
  <si>
    <t>DS_GS</t>
  </si>
  <si>
    <t>Tamoor Hussain｜Demon’s Souls 原创评测</t>
  </si>
  <si>
    <t>原评测正文及检索片段</t>
  </si>
  <si>
    <t>https://www.gamespot.com/reviews/demons-souls-review-shield-up/1900-6417611/</t>
  </si>
  <si>
    <t>Jordan Middler｜Demon’s Souls 原创评测</t>
  </si>
  <si>
    <t>https://www.videogameschronicle.com/review/demons-souls-ps5/</t>
  </si>
  <si>
    <t>DS_GDC</t>
  </si>
  <si>
    <t>Bruce Woodard / Bluepoint｜Lifting the Fog：Demon’s Souls 几何与灯光</t>
  </si>
  <si>
    <t>开发者技术演讲</t>
  </si>
  <si>
    <t>仅演讲摘要</t>
  </si>
  <si>
    <t>https://www.gdcvault.com/play/1027469/Advanced-Graphics-Summit-Lifting-the</t>
  </si>
  <si>
    <t>开发者演讲摘要</t>
  </si>
  <si>
    <t>P-PS26</t>
  </si>
  <si>
    <t>PlayStation Blog / S-Game CEO Soulframe Liang｜Phantom Blade Zero State of Play dives deep into combat and the Wulin world</t>
  </si>
  <si>
    <t>官方PS5产品发布说明</t>
  </si>
  <si>
    <t>https://blog.playstation.com/2026/08/17/phantom-blade-zero-state-of-play-dives-deep-into-combat-and-the-wulin-world/</t>
  </si>
  <si>
    <t>P-PS23</t>
  </si>
  <si>
    <t>PlayStation Blog / S-Game CEO Soulframe Liang｜Phantom Blade Zero: a new beginning in a long journey</t>
  </si>
  <si>
    <t>见类别记录</t>
  </si>
  <si>
    <t>https://blog.playstation.com/2023/05/24/phantom-blade-zero-a-new-beginning-in-a-long-journey/</t>
  </si>
  <si>
    <t>P-DF</t>
  </si>
  <si>
    <t>Digital Foundry｜Phantom Blade Zero Hands-On - First Look - Unreal Engine With A Difference</t>
  </si>
  <si>
    <t>Gamescom 2025专用PC试玩；最高设置、RT开启</t>
  </si>
  <si>
    <t>仅视频说明与章节</t>
  </si>
  <si>
    <t>https://www.youtube.com/watch?v=PnoyBByM7JU</t>
  </si>
  <si>
    <t>试玩视频说明</t>
  </si>
  <si>
    <t>I 特效与战斗反馈</t>
  </si>
  <si>
    <t>J 运动画质与重建</t>
  </si>
  <si>
    <t>项目视觉基础指数 / 100</t>
  </si>
  <si>
    <t>K 后期与显示</t>
  </si>
  <si>
    <t>已填类别数 / 12</t>
  </si>
  <si>
    <t>项目12类汇总 / 100</t>
  </si>
  <si>
    <t>建议目标汇总 / 100</t>
  </si>
  <si>
    <t>到目标可增分（已填部分）</t>
  </si>
  <si>
    <t>使用顺序：先填Build和模式，再从原60项表转入类别均分；选择对标样本看差距。</t>
  </si>
  <si>
    <t>参考区间重叠时，不据此判断谁一定更好。空白参考项没有参与差距计算。</t>
  </si>
  <si>
    <t>L 全流程一致性</t>
  </si>
  <si>
    <t>汇总值不自动授予S/A等级；正式评级还要核验60项证据、视觉底线和该模式交付条件。</t>
  </si>
  <si>
    <t>视觉基础指数下沿 / 100</t>
  </si>
  <si>
    <t>视觉基础指数上沿 / 100</t>
  </si>
  <si>
    <t>12类初评下沿 / 100</t>
  </si>
  <si>
    <t>12类初评上沿 / 100</t>
  </si>
  <si>
    <t>视觉基础指数只覆盖 A/B/C/D/H，合计52%原权重；不代表整体商品水平。</t>
  </si>
  <si>
    <t>类别覆盖不等于60项已验收。12类初评齐全才计算区间，缺项不按零分处理。</t>
  </si>
  <si>
    <t>PC与Xbox样本用于画质方向参考；PS5交付方案须补同平台、同Build、同模式实测。</t>
  </si>
  <si>
    <t>建议目标是项目内部提案。画质优先时，可并列评审60/40/30模式及各自视觉收益。</t>
  </si>
  <si>
    <t>优先参考</t>
  </si>
  <si>
    <t>Delta：题材与重制呈现；悟空：动作场景光照；Hellblade II：角色、自然光和大气。</t>
  </si>
  <si>
    <t>寂静岭2：暗部与雾；恶魔之魂：历史美术完成度；影之刃零：等待终版复测。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</si>
</sst>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"/>
    <numFmt numFmtId="166" formatCode="+0.0;-0.0;0.0"/>
  </numFmts>
  <fonts count="7">
    <font>
      <sz val="11.0"/>
      <color rgb="FF000000"/>
      <name val="Carlito"/>
      <scheme val="minor"/>
    </font>
    <font>
      <sz val="11.0"/>
      <color rgb="FF26374C"/>
      <name val="Arial"/>
    </font>
    <font>
      <b/>
      <sz val="16.0"/>
      <color rgb="FF24364D"/>
      <name val="Arial"/>
    </font>
    <font>
      <b/>
      <sz val="11.0"/>
      <color rgb="FFFFFFFF"/>
      <name val="Arial"/>
    </font>
    <font>
      <sz val="11.0"/>
      <color rgb="FF8C5400"/>
      <name val="Arial"/>
    </font>
    <font>
      <sz val="11.0"/>
      <color rgb="FF65758A"/>
      <name val="Arial"/>
    </font>
    <font>
      <b/>
      <sz val="11.0"/>
      <color rgb="FF26374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4364D"/>
        <bgColor rgb="FF24364D"/>
      </patternFill>
    </fill>
    <fill>
      <patternFill patternType="solid">
        <fgColor rgb="FFFFF0C5"/>
        <bgColor rgb="FFFFF0C5"/>
      </patternFill>
    </fill>
    <fill>
      <patternFill patternType="solid">
        <fgColor rgb="FFF1F4F7"/>
        <bgColor rgb="FFF1F4F7"/>
      </patternFill>
    </fill>
    <fill>
      <patternFill patternType="solid">
        <fgColor rgb="FFFFFFFF"/>
        <bgColor rgb="FFFFFFFF"/>
      </patternFill>
    </fill>
  </fills>
  <borders count="6">
    <border/>
    <border>
      <bottom style="thin">
        <color rgb="FFCAD2DC"/>
      </bottom>
    </border>
    <border>
      <left/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2" fontId="3" numFmtId="0" xfId="0" applyAlignment="1" applyBorder="1" applyFill="1" applyFont="1">
      <alignment horizontal="center" shrinkToFit="0" vertical="center" wrapText="1"/>
    </xf>
    <xf borderId="3" fillId="2" fontId="3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165" xfId="0" applyAlignment="1" applyFont="1" applyNumberFormat="1">
      <alignment horizontal="right" shrinkToFit="0" vertical="center" wrapText="1"/>
    </xf>
    <xf borderId="0" fillId="0" fontId="1" numFmtId="165" xfId="0" applyAlignment="1" applyFont="1" applyNumberFormat="1">
      <alignment horizontal="right" vertical="center"/>
    </xf>
    <xf borderId="5" fillId="4" fontId="1" numFmtId="0" xfId="0" applyAlignment="1" applyBorder="1" applyFill="1" applyFont="1">
      <alignment shrinkToFit="0" vertical="center" wrapText="1"/>
    </xf>
    <xf borderId="5" fillId="4" fontId="1" numFmtId="164" xfId="0" applyAlignment="1" applyBorder="1" applyFill="1" applyFont="1" applyNumberFormat="1">
      <alignment shrinkToFit="0" vertical="center" wrapText="1"/>
    </xf>
    <xf borderId="0" fillId="0" fontId="1" numFmtId="165" xfId="0" applyAlignment="1" applyFont="1" applyNumberFormat="1">
      <alignment shrinkToFit="0" vertical="center" wrapText="1"/>
    </xf>
    <xf borderId="5" fillId="4" fontId="1" numFmtId="165" xfId="0" applyAlignment="1" applyBorder="1" applyFill="1" applyFont="1" applyNumberFormat="1">
      <alignment horizontal="right" shrinkToFit="0" vertical="center" wrapText="1"/>
    </xf>
    <xf borderId="5" fillId="3" fontId="4" numFmtId="165" xfId="0" applyAlignment="1" applyBorder="1" applyFill="1" applyFont="1" applyNumberFormat="1">
      <alignment horizontal="right" shrinkToFit="0" vertical="center" wrapText="1"/>
    </xf>
    <xf borderId="5" fillId="4" fontId="1" numFmtId="0" xfId="0" applyAlignment="1" applyBorder="1" applyFill="1" applyFont="1">
      <alignment vertical="center"/>
    </xf>
    <xf borderId="5" fillId="4" fontId="1" numFmtId="165" xfId="0" applyAlignment="1" applyBorder="1" applyFill="1" applyFont="1" applyNumberFormat="1">
      <alignment horizontal="right" vertical="center"/>
    </xf>
    <xf borderId="0" fillId="0" fontId="1" numFmtId="166" xfId="0" applyAlignment="1" applyFont="1" applyNumberFormat="1">
      <alignment horizontal="right" shrinkToFit="0" vertical="center" wrapText="1"/>
    </xf>
    <xf borderId="5" fillId="3" fontId="4" numFmtId="0" xfId="0" applyAlignment="1" applyBorder="1" applyFill="1" applyFont="1">
      <alignment shrinkToFit="0" vertical="center" wrapText="1"/>
    </xf>
    <xf borderId="5" fillId="4" fontId="1" numFmtId="166" xfId="0" applyAlignment="1" applyBorder="1" applyFill="1" applyFont="1" applyNumberFormat="1">
      <alignment horizontal="right" shrinkToFit="0" vertical="center" wrapText="1"/>
    </xf>
    <xf borderId="5" fillId="5" fontId="3" numFmtId="0" xfId="0" applyAlignment="1" applyBorder="1" applyFill="1" applyFont="1">
      <alignment horizontal="center" shrinkToFit="0" vertical="center" wrapText="1"/>
    </xf>
    <xf borderId="0" fillId="0" fontId="6" numFmtId="165" xfId="0" applyAlignment="1" applyFont="1" applyNumberFormat="1">
      <alignment vertical="center"/>
    </xf>
    <xf borderId="5" fillId="4" fontId="6" numFmtId="0" xfId="0" applyAlignment="1" applyBorder="1" applyFill="1" applyFont="1">
      <alignment vertical="center"/>
    </xf>
    <xf borderId="5" fillId="4" fontId="6" numFmtId="165" xfId="0" applyAlignment="1" applyBorder="1" applyFill="1" applyFont="1" applyNumberFormat="1">
      <alignment horizontal="right" vertical="center"/>
    </xf>
    <xf borderId="0" fillId="0" fontId="1" numFmtId="9" xfId="0" applyAlignment="1" applyFont="1" applyNumberFormat="1">
      <alignment horizontal="right" vertical="center"/>
    </xf>
  </cellXfs>
  <cellStyles count="1">
    <cellStyle xfId="0" name="Normal" builtinId="0"/>
  </cellStyles>
  <dxfs count="1">
    <dxf>
      <font>
        <color rgb="FFA13222"/>
      </font>
      <fill>
        <patternFill patternType="solid">
          <fgColor rgb="FFFBE5DE"/>
          <bgColor rgb="FFFBE5D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364D"/>
    <pageSetUpPr/>
  </sheetPr>
  <sheetViews>
    <sheetView showGridLines="0" workbookViewId="0"/>
  </sheetViews>
  <sheetFormatPr customHeight="1" defaultColWidth="12.63" defaultRowHeight="15.0"/>
  <cols>
    <col customWidth="1" min="1" max="1" width="31.25"/>
    <col customWidth="1" min="2" max="2" width="8.0"/>
    <col customWidth="1" min="3" max="4" width="11.63"/>
    <col customWidth="1" min="5" max="10" width="18.75"/>
    <col customWidth="1" min="11" max="26" width="8.63"/>
  </cols>
  <sheetData>
    <row r="1" ht="28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36.75" customHeight="1">
      <c r="A2" s="2" t="s">
        <v>3</v>
      </c>
      <c r="B2" s="1"/>
      <c r="C2" s="1"/>
      <c r="D2" s="1"/>
      <c r="E2" s="1"/>
      <c r="F2" s="1"/>
      <c r="G2" s="1"/>
      <c r="H2" s="1"/>
      <c r="I2" s="1"/>
      <c r="J2" s="1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ht="28.5" customHeight="1">
      <c r="A4" s="1" t="s">
        <v>13</v>
      </c>
      <c r="B4" s="1"/>
      <c r="C4" s="1"/>
      <c r="D4" s="1"/>
      <c r="E4" s="1"/>
      <c r="F4" s="1"/>
      <c r="G4" s="1"/>
      <c r="H4" s="1"/>
      <c r="I4" s="1"/>
      <c r="J4" s="1"/>
    </row>
    <row r="5" ht="37.5" customHeight="1">
      <c r="A5" s="4" t="s">
        <v>10</v>
      </c>
      <c r="B5" s="5" t="s">
        <v>25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33</v>
      </c>
      <c r="J5" s="6" t="s">
        <v>34</v>
      </c>
    </row>
    <row r="6" ht="63.0" customHeight="1">
      <c r="A6" s="1"/>
      <c r="B6" s="1"/>
      <c r="C6" s="1"/>
      <c r="D6" s="1"/>
      <c r="E6" s="9" t="s">
        <v>36</v>
      </c>
      <c r="F6" s="9" t="s">
        <v>40</v>
      </c>
      <c r="G6" s="9" t="s">
        <v>42</v>
      </c>
      <c r="H6" s="9" t="s">
        <v>44</v>
      </c>
      <c r="I6" s="9" t="s">
        <v>45</v>
      </c>
      <c r="J6" s="9" t="s">
        <v>46</v>
      </c>
    </row>
    <row r="7" ht="33.0" customHeight="1">
      <c r="A7" s="1" t="s">
        <v>49</v>
      </c>
      <c r="B7" s="12">
        <v>6.0</v>
      </c>
      <c r="C7" s="12" t="str">
        <f>IF('项目对照'!L9="有效",'项目对照'!D9,"")</f>
        <v/>
      </c>
      <c r="D7" s="12">
        <f>IF(ISNUMBER('项目对照'!I9),'项目对照'!I9,"")</f>
        <v>4</v>
      </c>
      <c r="E7" s="12" t="str">
        <f>IF('评分依据'!K6=0,"待评",TEXT('评分依据'!F6,"0.0")&amp;"–"&amp;TEXT('评分依据'!G6,"0.0"))</f>
        <v>4.0–4.5</v>
      </c>
      <c r="F7" s="12" t="str">
        <f>IF('评分依据'!K18=0,"待评",TEXT('评分依据'!F18,"0.0")&amp;"–"&amp;TEXT('评分依据'!G18,"0.0"))</f>
        <v>4.0–4.5</v>
      </c>
      <c r="G7" s="12" t="str">
        <f>IF('评分依据'!K30=0,"待评",TEXT('评分依据'!F30,"0.0")&amp;"–"&amp;TEXT('评分依据'!G30,"0.0"))</f>
        <v>4.5–5.0</v>
      </c>
      <c r="H7" s="12" t="str">
        <f>IF('评分依据'!K42=0,"待评",TEXT('评分依据'!F42,"0.0")&amp;"–"&amp;TEXT('评分依据'!G42,"0.0"))</f>
        <v>4.0–4.5</v>
      </c>
      <c r="I7" s="12" t="str">
        <f>IF('评分依据'!K54=0,"待评",TEXT('评分依据'!F54,"0.0")&amp;"–"&amp;TEXT('评分依据'!G54,"0.0"))</f>
        <v>4.0–4.5</v>
      </c>
      <c r="J7" s="12" t="str">
        <f>IF('评分依据'!K66=0,"待评",TEXT('评分依据'!F66,"0.0")&amp;"–"&amp;TEXT('评分依据'!G66,"0.0"))</f>
        <v>待评</v>
      </c>
    </row>
    <row r="8" ht="33.0" customHeight="1">
      <c r="A8" s="18" t="s">
        <v>200</v>
      </c>
      <c r="B8" s="19">
        <v>12.0</v>
      </c>
      <c r="C8" s="19" t="str">
        <f>IF('项目对照'!L10="有效",'项目对照'!D10,"")</f>
        <v/>
      </c>
      <c r="D8" s="19">
        <f>IF(ISNUMBER('项目对照'!I10),'项目对照'!I10,"")</f>
        <v>4.5</v>
      </c>
      <c r="E8" s="19" t="str">
        <f>IF('评分依据'!K7=0,"待评",TEXT('评分依据'!F7,"0.0")&amp;"–"&amp;TEXT('评分依据'!G7,"0.0"))</f>
        <v>4.0–4.5</v>
      </c>
      <c r="F8" s="19" t="str">
        <f>IF('评分依据'!K19=0,"待评",TEXT('评分依据'!F19,"0.0")&amp;"–"&amp;TEXT('评分依据'!G19,"0.0"))</f>
        <v>4.0–4.5</v>
      </c>
      <c r="G8" s="19" t="str">
        <f>IF('评分依据'!K31=0,"待评",TEXT('评分依据'!F31,"0.0")&amp;"–"&amp;TEXT('评分依据'!G31,"0.0"))</f>
        <v>4.5–5.0</v>
      </c>
      <c r="H8" s="19" t="str">
        <f>IF('评分依据'!K43=0,"待评",TEXT('评分依据'!F43,"0.0")&amp;"–"&amp;TEXT('评分依据'!G43,"0.0"))</f>
        <v>4.0–4.5</v>
      </c>
      <c r="I8" s="19" t="str">
        <f>IF('评分依据'!K55=0,"待评",TEXT('评分依据'!F55,"0.0")&amp;"–"&amp;TEXT('评分依据'!G55,"0.0"))</f>
        <v>4.0–4.5</v>
      </c>
      <c r="J8" s="19" t="str">
        <f>IF('评分依据'!K67=0,"待评",TEXT('评分依据'!F67,"0.0")&amp;"–"&amp;TEXT('评分依据'!G67,"0.0"))</f>
        <v>待评</v>
      </c>
    </row>
    <row r="9" ht="33.0" customHeight="1">
      <c r="A9" s="1" t="s">
        <v>254</v>
      </c>
      <c r="B9" s="12">
        <v>10.0</v>
      </c>
      <c r="C9" s="12" t="str">
        <f>IF('项目对照'!L11="有效",'项目对照'!D11,"")</f>
        <v/>
      </c>
      <c r="D9" s="12">
        <f>IF(ISNUMBER('项目对照'!I11),'项目对照'!I11,"")</f>
        <v>4.5</v>
      </c>
      <c r="E9" s="12" t="str">
        <f>IF('评分依据'!K8=0,"待评",TEXT('评分依据'!F8,"0.0")&amp;"–"&amp;TEXT('评分依据'!G8,"0.0"))</f>
        <v>4.0–4.5</v>
      </c>
      <c r="F9" s="12" t="str">
        <f>IF('评分依据'!K20=0,"待评",TEXT('评分依据'!F20,"0.0")&amp;"–"&amp;TEXT('评分依据'!G20,"0.0"))</f>
        <v>3.5–4.5</v>
      </c>
      <c r="G9" s="12" t="str">
        <f>IF('评分依据'!K32=0,"待评",TEXT('评分依据'!F32,"0.0")&amp;"–"&amp;TEXT('评分依据'!G32,"0.0"))</f>
        <v>4.5–5.0</v>
      </c>
      <c r="H9" s="12" t="str">
        <f>IF('评分依据'!K44=0,"待评",TEXT('评分依据'!F44,"0.0")&amp;"–"&amp;TEXT('评分依据'!G44,"0.0"))</f>
        <v>3.5–4.5</v>
      </c>
      <c r="I9" s="12" t="str">
        <f>IF('评分依据'!K56=0,"待评",TEXT('评分依据'!F56,"0.0")&amp;"–"&amp;TEXT('评分依据'!G56,"0.0"))</f>
        <v>4.0–4.5</v>
      </c>
      <c r="J9" s="12" t="str">
        <f>IF('评分依据'!K68=0,"待评",TEXT('评分依据'!F68,"0.0")&amp;"–"&amp;TEXT('评分依据'!G68,"0.0"))</f>
        <v>待评</v>
      </c>
    </row>
    <row r="10" ht="33.0" customHeight="1">
      <c r="A10" s="18" t="s">
        <v>290</v>
      </c>
      <c r="B10" s="19">
        <v>14.0</v>
      </c>
      <c r="C10" s="19" t="str">
        <f>IF('项目对照'!L12="有效",'项目对照'!D12,"")</f>
        <v/>
      </c>
      <c r="D10" s="19">
        <f>IF(ISNUMBER('项目对照'!I12),'项目对照'!I12,"")</f>
        <v>4.5</v>
      </c>
      <c r="E10" s="19" t="str">
        <f>IF('评分依据'!K9=0,"待评",TEXT('评分依据'!F9,"0.0")&amp;"–"&amp;TEXT('评分依据'!G9,"0.0"))</f>
        <v>4.0–4.5</v>
      </c>
      <c r="F10" s="19" t="str">
        <f>IF('评分依据'!K21=0,"待评",TEXT('评分依据'!F21,"0.0")&amp;"–"&amp;TEXT('评分依据'!G21,"0.0"))</f>
        <v>4.0–4.5</v>
      </c>
      <c r="G10" s="19" t="str">
        <f>IF('评分依据'!K33=0,"待评",TEXT('评分依据'!F33,"0.0")&amp;"–"&amp;TEXT('评分依据'!G33,"0.0"))</f>
        <v>4.5–5.0</v>
      </c>
      <c r="H10" s="19" t="str">
        <f>IF('评分依据'!K45=0,"待评",TEXT('评分依据'!F45,"0.0")&amp;"–"&amp;TEXT('评分依据'!G45,"0.0"))</f>
        <v>4.0–4.5</v>
      </c>
      <c r="I10" s="19" t="str">
        <f>IF('评分依据'!K57=0,"待评",TEXT('评分依据'!F57,"0.0")&amp;"–"&amp;TEXT('评分依据'!G57,"0.0"))</f>
        <v>4.0–4.5</v>
      </c>
      <c r="J10" s="19" t="str">
        <f>IF('评分依据'!K69=0,"待评",TEXT('评分依据'!F69,"0.0")&amp;"–"&amp;TEXT('评分依据'!G69,"0.0"))</f>
        <v>待评</v>
      </c>
    </row>
    <row r="11" ht="33.0" customHeight="1">
      <c r="A11" s="1" t="s">
        <v>323</v>
      </c>
      <c r="B11" s="12">
        <v>8.0</v>
      </c>
      <c r="C11" s="12" t="str">
        <f>IF('项目对照'!L13="有效",'项目对照'!D13,"")</f>
        <v/>
      </c>
      <c r="D11" s="12">
        <f>IF(ISNUMBER('项目对照'!I13),'项目对照'!I13,"")</f>
        <v>4</v>
      </c>
      <c r="E11" s="12" t="str">
        <f>IF('评分依据'!K10=0,"待评",TEXT('评分依据'!F10,"0.0")&amp;"–"&amp;TEXT('评分依据'!G10,"0.0"))</f>
        <v>待评</v>
      </c>
      <c r="F11" s="12" t="str">
        <f>IF('评分依据'!K22=0,"待评",TEXT('评分依据'!F22,"0.0")&amp;"–"&amp;TEXT('评分依据'!G22,"0.0"))</f>
        <v>4.0–4.5</v>
      </c>
      <c r="G11" s="12" t="str">
        <f>IF('评分依据'!K34=0,"待评",TEXT('评分依据'!F34,"0.0")&amp;"–"&amp;TEXT('评分依据'!G34,"0.0"))</f>
        <v>4.5–5.0</v>
      </c>
      <c r="H11" s="12" t="str">
        <f>IF('评分依据'!K46=0,"待评",TEXT('评分依据'!F46,"0.0")&amp;"–"&amp;TEXT('评分依据'!G46,"0.0"))</f>
        <v>待评</v>
      </c>
      <c r="I11" s="12" t="str">
        <f>IF('评分依据'!K58=0,"待评",TEXT('评分依据'!F58,"0.0")&amp;"–"&amp;TEXT('评分依据'!G58,"0.0"))</f>
        <v>4.0–4.5</v>
      </c>
      <c r="J11" s="12" t="str">
        <f>IF('评分依据'!K70=0,"待评",TEXT('评分依据'!F70,"0.0")&amp;"–"&amp;TEXT('评分依据'!G70,"0.0"))</f>
        <v>待评</v>
      </c>
    </row>
    <row r="12" ht="33.0" customHeight="1">
      <c r="A12" s="18" t="s">
        <v>352</v>
      </c>
      <c r="B12" s="19">
        <v>6.0</v>
      </c>
      <c r="C12" s="19" t="str">
        <f>IF('项目对照'!L14="有效",'项目对照'!D14,"")</f>
        <v/>
      </c>
      <c r="D12" s="19">
        <f>IF(ISNUMBER('项目对照'!I14),'项目对照'!I14,"")</f>
        <v>4</v>
      </c>
      <c r="E12" s="19" t="str">
        <f>IF('评分依据'!K11=0,"待评",TEXT('评分依据'!F11,"0.0")&amp;"–"&amp;TEXT('评分依据'!G11,"0.0"))</f>
        <v>待评</v>
      </c>
      <c r="F12" s="19" t="str">
        <f>IF('评分依据'!K23=0,"待评",TEXT('评分依据'!F23,"0.0")&amp;"–"&amp;TEXT('评分依据'!G23,"0.0"))</f>
        <v>4.0–4.5</v>
      </c>
      <c r="G12" s="19" t="str">
        <f>IF('评分依据'!K35=0,"待评",TEXT('评分依据'!F35,"0.0")&amp;"–"&amp;TEXT('评分依据'!G35,"0.0"))</f>
        <v>3.5–4.0</v>
      </c>
      <c r="H12" s="19" t="str">
        <f>IF('评分依据'!K47=0,"待评",TEXT('评分依据'!F47,"0.0")&amp;"–"&amp;TEXT('评分依据'!G47,"0.0"))</f>
        <v>4.0–4.5</v>
      </c>
      <c r="I12" s="19" t="str">
        <f>IF('评分依据'!K59=0,"待评",TEXT('评分依据'!F59,"0.0")&amp;"–"&amp;TEXT('评分依据'!G59,"0.0"))</f>
        <v>待评</v>
      </c>
      <c r="J12" s="19" t="str">
        <f>IF('评分依据'!K71=0,"待评",TEXT('评分依据'!F71,"0.0")&amp;"–"&amp;TEXT('评分依据'!G71,"0.0"))</f>
        <v>待评</v>
      </c>
    </row>
    <row r="13" ht="33.0" customHeight="1">
      <c r="A13" s="1" t="s">
        <v>388</v>
      </c>
      <c r="B13" s="12">
        <v>5.0</v>
      </c>
      <c r="C13" s="12" t="str">
        <f>IF('项目对照'!L15="有效",'项目对照'!D15,"")</f>
        <v/>
      </c>
      <c r="D13" s="12">
        <f>IF(ISNUMBER('项目对照'!I15),'项目对照'!I15,"")</f>
        <v>4</v>
      </c>
      <c r="E13" s="12" t="str">
        <f>IF('评分依据'!K12=0,"待评",TEXT('评分依据'!F12,"0.0")&amp;"–"&amp;TEXT('评分依据'!G12,"0.0"))</f>
        <v>待评</v>
      </c>
      <c r="F13" s="12" t="str">
        <f>IF('评分依据'!K24=0,"待评",TEXT('评分依据'!F24,"0.0")&amp;"–"&amp;TEXT('评分依据'!G24,"0.0"))</f>
        <v>4.0–4.5</v>
      </c>
      <c r="G13" s="12" t="str">
        <f>IF('评分依据'!K36=0,"待评",TEXT('评分依据'!F36,"0.0")&amp;"–"&amp;TEXT('评分依据'!G36,"0.0"))</f>
        <v>4.5–5.0</v>
      </c>
      <c r="H13" s="12" t="str">
        <f>IF('评分依据'!K48=0,"待评",TEXT('评分依据'!F48,"0.0")&amp;"–"&amp;TEXT('评分依据'!G48,"0.0"))</f>
        <v>4.0–4.5</v>
      </c>
      <c r="I13" s="12" t="str">
        <f>IF('评分依据'!K60=0,"待评",TEXT('评分依据'!F60,"0.0")&amp;"–"&amp;TEXT('评分依据'!G60,"0.0"))</f>
        <v>待评</v>
      </c>
      <c r="J13" s="12" t="str">
        <f>IF('评分依据'!K72=0,"待评",TEXT('评分依据'!F72,"0.0")&amp;"–"&amp;TEXT('评分依据'!G72,"0.0"))</f>
        <v>待评</v>
      </c>
    </row>
    <row r="14" ht="33.0" customHeight="1">
      <c r="A14" s="18" t="s">
        <v>435</v>
      </c>
      <c r="B14" s="19">
        <v>10.0</v>
      </c>
      <c r="C14" s="19" t="str">
        <f>IF('项目对照'!L16="有效",'项目对照'!D16,"")</f>
        <v/>
      </c>
      <c r="D14" s="19">
        <f>IF(ISNUMBER('项目对照'!I16),'项目对照'!I16,"")</f>
        <v>4.5</v>
      </c>
      <c r="E14" s="19" t="str">
        <f>IF('评分依据'!K13=0,"待评",TEXT('评分依据'!F13,"0.0")&amp;"–"&amp;TEXT('评分依据'!G13,"0.0"))</f>
        <v>3.5–4.0</v>
      </c>
      <c r="F14" s="19" t="str">
        <f>IF('评分依据'!K25=0,"待评",TEXT('评分依据'!F25,"0.0")&amp;"–"&amp;TEXT('评分依据'!G25,"0.0"))</f>
        <v>4.0–4.5</v>
      </c>
      <c r="G14" s="19" t="str">
        <f>IF('评分依据'!K37=0,"待评",TEXT('评分依据'!F37,"0.0")&amp;"–"&amp;TEXT('评分依据'!G37,"0.0"))</f>
        <v>4.5–5.0</v>
      </c>
      <c r="H14" s="19" t="str">
        <f>IF('评分依据'!K49=0,"待评",TEXT('评分依据'!F49,"0.0")&amp;"–"&amp;TEXT('评分依据'!G49,"0.0"))</f>
        <v>3.5–4.5</v>
      </c>
      <c r="I14" s="19" t="str">
        <f>IF('评分依据'!K61=0,"待评",TEXT('评分依据'!F61,"0.0")&amp;"–"&amp;TEXT('评分依据'!G61,"0.0"))</f>
        <v>4.0–4.5</v>
      </c>
      <c r="J14" s="19" t="str">
        <f>IF('评分依据'!K73=0,"待评",TEXT('评分依据'!F73,"0.0")&amp;"–"&amp;TEXT('评分依据'!G73,"0.0"))</f>
        <v>待评</v>
      </c>
    </row>
    <row r="15" ht="33.0" customHeight="1">
      <c r="A15" s="1" t="s">
        <v>510</v>
      </c>
      <c r="B15" s="12">
        <v>8.0</v>
      </c>
      <c r="C15" s="12" t="str">
        <f>IF('项目对照'!L17="有效",'项目对照'!D17,"")</f>
        <v/>
      </c>
      <c r="D15" s="12">
        <f>IF(ISNUMBER('项目对照'!I17),'项目对照'!I17,"")</f>
        <v>4.5</v>
      </c>
      <c r="E15" s="12" t="str">
        <f>IF('评分依据'!K14=0,"待评",TEXT('评分依据'!F14,"0.0")&amp;"–"&amp;TEXT('评分依据'!G14,"0.0"))</f>
        <v>待评</v>
      </c>
      <c r="F15" s="12" t="str">
        <f>IF('评分依据'!K26=0,"待评",TEXT('评分依据'!F26,"0.0")&amp;"–"&amp;TEXT('评分依据'!G26,"0.0"))</f>
        <v>4.0–4.5</v>
      </c>
      <c r="G15" s="12" t="str">
        <f>IF('评分依据'!K38=0,"待评",TEXT('评分依据'!F38,"0.0")&amp;"–"&amp;TEXT('评分依据'!G38,"0.0"))</f>
        <v>4.0–4.5</v>
      </c>
      <c r="H15" s="12" t="str">
        <f>IF('评分依据'!K50=0,"待评",TEXT('评分依据'!F50,"0.0")&amp;"–"&amp;TEXT('评分依据'!G50,"0.0"))</f>
        <v>待评</v>
      </c>
      <c r="I15" s="12" t="str">
        <f>IF('评分依据'!K62=0,"待评",TEXT('评分依据'!F62,"0.0")&amp;"–"&amp;TEXT('评分依据'!G62,"0.0"))</f>
        <v>4.0–4.5</v>
      </c>
      <c r="J15" s="12" t="str">
        <f>IF('评分依据'!K74=0,"待评",TEXT('评分依据'!F74,"0.0")&amp;"–"&amp;TEXT('评分依据'!G74,"0.0"))</f>
        <v>待评</v>
      </c>
    </row>
    <row r="16" ht="33.0" customHeight="1">
      <c r="A16" s="18" t="s">
        <v>511</v>
      </c>
      <c r="B16" s="19">
        <v>10.0</v>
      </c>
      <c r="C16" s="19" t="str">
        <f>IF('项目对照'!L18="有效",'项目对照'!D18,"")</f>
        <v/>
      </c>
      <c r="D16" s="19">
        <f>IF(ISNUMBER('项目对照'!I18),'项目对照'!I18,"")</f>
        <v>4</v>
      </c>
      <c r="E16" s="19" t="str">
        <f>IF('评分依据'!K15=0,"待评",TEXT('评分依据'!F15,"0.0")&amp;"–"&amp;TEXT('评分依据'!G15,"0.0"))</f>
        <v>待评</v>
      </c>
      <c r="F16" s="19" t="str">
        <f>IF('评分依据'!K27=0,"待评",TEXT('评分依据'!F27,"0.0")&amp;"–"&amp;TEXT('评分依据'!G27,"0.0"))</f>
        <v>3.0–4.0</v>
      </c>
      <c r="G16" s="19" t="str">
        <f>IF('评分依据'!K39=0,"待评",TEXT('评分依据'!F39,"0.0")&amp;"–"&amp;TEXT('评分依据'!G39,"0.0"))</f>
        <v>4.0–4.5</v>
      </c>
      <c r="H16" s="19" t="str">
        <f>IF('评分依据'!K51=0,"待评",TEXT('评分依据'!F51,"0.0")&amp;"–"&amp;TEXT('评分依据'!G51,"0.0"))</f>
        <v>3.0–4.0</v>
      </c>
      <c r="I16" s="19" t="str">
        <f>IF('评分依据'!K63=0,"待评",TEXT('评分依据'!F63,"0.0")&amp;"–"&amp;TEXT('评分依据'!G63,"0.0"))</f>
        <v>4.0–4.5</v>
      </c>
      <c r="J16" s="19" t="str">
        <f>IF('评分依据'!K75=0,"待评",TEXT('评分依据'!F75,"0.0")&amp;"–"&amp;TEXT('评分依据'!G75,"0.0"))</f>
        <v>待评</v>
      </c>
    </row>
    <row r="17" ht="33.0" customHeight="1">
      <c r="A17" s="1" t="s">
        <v>513</v>
      </c>
      <c r="B17" s="12">
        <v>6.0</v>
      </c>
      <c r="C17" s="12" t="str">
        <f>IF('项目对照'!L19="有效",'项目对照'!D19,"")</f>
        <v/>
      </c>
      <c r="D17" s="12">
        <f>IF(ISNUMBER('项目对照'!I19),'项目对照'!I19,"")</f>
        <v>4</v>
      </c>
      <c r="E17" s="12" t="str">
        <f>IF('评分依据'!K16=0,"待评",TEXT('评分依据'!F16,"0.0")&amp;"–"&amp;TEXT('评分依据'!G16,"0.0"))</f>
        <v>待评</v>
      </c>
      <c r="F17" s="12" t="str">
        <f>IF('评分依据'!K28=0,"待评",TEXT('评分依据'!F28,"0.0")&amp;"–"&amp;TEXT('评分依据'!G28,"0.0"))</f>
        <v>待评</v>
      </c>
      <c r="G17" s="12" t="str">
        <f>IF('评分依据'!K40=0,"待评",TEXT('评分依据'!F40,"0.0")&amp;"–"&amp;TEXT('评分依据'!G40,"0.0"))</f>
        <v>待评</v>
      </c>
      <c r="H17" s="12" t="str">
        <f>IF('评分依据'!K52=0,"待评",TEXT('评分依据'!F52,"0.0")&amp;"–"&amp;TEXT('评分依据'!G52,"0.0"))</f>
        <v>待评</v>
      </c>
      <c r="I17" s="12" t="str">
        <f>IF('评分依据'!K64=0,"待评",TEXT('评分依据'!F64,"0.0")&amp;"–"&amp;TEXT('评分依据'!G64,"0.0"))</f>
        <v>4.0–4.5</v>
      </c>
      <c r="J17" s="12" t="str">
        <f>IF('评分依据'!K76=0,"待评",TEXT('评分依据'!F76,"0.0")&amp;"–"&amp;TEXT('评分依据'!G76,"0.0"))</f>
        <v>待评</v>
      </c>
    </row>
    <row r="18" ht="33.0" customHeight="1">
      <c r="A18" s="18" t="s">
        <v>520</v>
      </c>
      <c r="B18" s="19">
        <v>5.0</v>
      </c>
      <c r="C18" s="19" t="str">
        <f>IF('项目对照'!L20="有效",'项目对照'!D20,"")</f>
        <v/>
      </c>
      <c r="D18" s="19">
        <f>IF(ISNUMBER('项目对照'!I20),'项目对照'!I20,"")</f>
        <v>4</v>
      </c>
      <c r="E18" s="19" t="str">
        <f>IF('评分依据'!K17=0,"待评",TEXT('评分依据'!F17,"0.0")&amp;"–"&amp;TEXT('评分依据'!G17,"0.0"))</f>
        <v>待评</v>
      </c>
      <c r="F18" s="19" t="str">
        <f>IF('评分依据'!K29=0,"待评",TEXT('评分依据'!F29,"0.0")&amp;"–"&amp;TEXT('评分依据'!G29,"0.0"))</f>
        <v>3.0–4.0</v>
      </c>
      <c r="G18" s="19" t="str">
        <f>IF('评分依据'!K41=0,"待评",TEXT('评分依据'!F41,"0.0")&amp;"–"&amp;TEXT('评分依据'!G41,"0.0"))</f>
        <v>4.0–4.5</v>
      </c>
      <c r="H18" s="19" t="str">
        <f>IF('评分依据'!K53=0,"待评",TEXT('评分依据'!F53,"0.0")&amp;"–"&amp;TEXT('评分依据'!G53,"0.0"))</f>
        <v>待评</v>
      </c>
      <c r="I18" s="19" t="str">
        <f>IF('评分依据'!K65=0,"待评",TEXT('评分依据'!F65,"0.0")&amp;"–"&amp;TEXT('评分依据'!G65,"0.0"))</f>
        <v>待评</v>
      </c>
      <c r="J18" s="19" t="str">
        <f>IF('评分依据'!K77=0,"待评",TEXT('评分依据'!F77,"0.0")&amp;"–"&amp;TEXT('评分依据'!G77,"0.0"))</f>
        <v>待评</v>
      </c>
    </row>
    <row r="19" ht="28.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ht="31.5" customHeight="1">
      <c r="A20" s="25" t="s">
        <v>522</v>
      </c>
      <c r="B20" s="25"/>
      <c r="C20" s="26" t="str">
        <f>IF(ISNUMBER('项目对照'!D23),'项目对照'!D23,"")</f>
        <v/>
      </c>
      <c r="D20" s="26">
        <f>IF(ISNUMBER('项目对照'!D26),SUMPRODUCT('项目对照'!I9:I20,'项目对照'!M9:M20)/5/52*100,"")</f>
        <v>88.84615385</v>
      </c>
      <c r="E20" s="26">
        <f>IF(SUM('评分依据'!K6,'评分依据'!K7,'评分依据'!K8,'评分依据'!K9,'评分依据'!K13)=52,('评分依据'!F6*'评分依据'!E6+'评分依据'!F7*'评分依据'!E7+'评分依据'!F8*'评分依据'!E8+'评分依据'!F9*'评分依据'!E9+'评分依据'!F13*'评分依据'!E13)/5/52*100,"")</f>
        <v>78.07692308</v>
      </c>
      <c r="F20" s="26">
        <f>IF(SUM('评分依据'!K18,'评分依据'!K19,'评分依据'!K20,'评分依据'!K21,'评分依据'!K25)=52,('评分依据'!F18*'评分依据'!E18+'评分依据'!F19*'评分依据'!E19+'评分依据'!F20*'评分依据'!E20+'评分依据'!F21*'评分依据'!E21+'评分依据'!F25*'评分依据'!E25)/5/52*100,"")</f>
        <v>78.07692308</v>
      </c>
      <c r="G20" s="26">
        <f>IF(SUM('评分依据'!K30,'评分依据'!K31,'评分依据'!K32,'评分依据'!K33,'评分依据'!K37)=52,('评分依据'!F30*'评分依据'!E30+'评分依据'!F31*'评分依据'!E31+'评分依据'!F32*'评分依据'!E32+'评分依据'!F33*'评分依据'!E33+'评分依据'!F37*'评分依据'!E37)/5/52*100,"")</f>
        <v>90</v>
      </c>
      <c r="H20" s="26">
        <f>IF(SUM('评分依据'!K42,'评分依据'!K43,'评分依据'!K44,'评分依据'!K45,'评分依据'!K49)=52,('评分依据'!F42*'评分依据'!E42+'评分依据'!F43*'评分依据'!E43+'评分依据'!F44*'评分依据'!E44+'评分依据'!F45*'评分依据'!E45+'评分依据'!F49*'评分依据'!E49)/5/52*100,"")</f>
        <v>76.15384615</v>
      </c>
      <c r="I20" s="26">
        <f>IF(SUM('评分依据'!K54,'评分依据'!K55,'评分依据'!K56,'评分依据'!K57,'评分依据'!K61)=52,('评分依据'!F54*'评分依据'!E54+'评分依据'!F55*'评分依据'!E55+'评分依据'!F56*'评分依据'!E56+'评分依据'!F57*'评分依据'!E57+'评分依据'!F61*'评分依据'!E61)/5/52*100,"")</f>
        <v>80</v>
      </c>
      <c r="J20" s="26" t="str">
        <f>IF(SUM('评分依据'!K66,'评分依据'!K67,'评分依据'!K68,'评分依据'!K69,'评分依据'!K73)=52,('评分依据'!F66*'评分依据'!E66+'评分依据'!F67*'评分依据'!E67+'评分依据'!F68*'评分依据'!E68+'评分依据'!F69*'评分依据'!E69+'评分依据'!F73*'评分依据'!E73)/5/52*100,"")</f>
        <v/>
      </c>
    </row>
    <row r="21" ht="31.5" customHeight="1">
      <c r="A21" s="25" t="s">
        <v>523</v>
      </c>
      <c r="B21" s="25"/>
      <c r="C21" s="26" t="str">
        <f t="shared" ref="C21:D21" si="1">IF(ISNUMBER(C20),C20,"")</f>
        <v/>
      </c>
      <c r="D21" s="26">
        <f t="shared" si="1"/>
        <v>88.84615385</v>
      </c>
      <c r="E21" s="26">
        <f>IF(SUM('评分依据'!K6,'评分依据'!K7,'评分依据'!K8,'评分依据'!K9,'评分依据'!K13)=52,('评分依据'!G6*'评分依据'!E6+'评分依据'!G7*'评分依据'!E7+'评分依据'!G8*'评分依据'!E8+'评分依据'!G9*'评分依据'!E9+'评分依据'!G13*'评分依据'!E13)/5/52*100,"")</f>
        <v>88.07692308</v>
      </c>
      <c r="F21" s="26">
        <f>IF(SUM('评分依据'!K18,'评分依据'!K19,'评分依据'!K20,'评分依据'!K21,'评分依据'!K25)=52,('评分依据'!G18*'评分依据'!E18+'评分依据'!G19*'评分依据'!E19+'评分依据'!G20*'评分依据'!E20+'评分依据'!G21*'评分依据'!E21+'评分依据'!G25*'评分依据'!E25)/5/52*100,"")</f>
        <v>90</v>
      </c>
      <c r="G21" s="26">
        <f>IF(SUM('评分依据'!K30,'评分依据'!K31,'评分依据'!K32,'评分依据'!K33,'评分依据'!K37)=52,('评分依据'!G30*'评分依据'!E30+'评分依据'!G31*'评分依据'!E31+'评分依据'!G32*'评分依据'!E32+'评分依据'!G33*'评分依据'!E33+'评分依据'!G37*'评分依据'!E37)/5/52*100,"")</f>
        <v>100</v>
      </c>
      <c r="H21" s="26">
        <f>IF(SUM('评分依据'!K42,'评分依据'!K43,'评分依据'!K44,'评分依据'!K45,'评分依据'!K49)=52,('评分依据'!G42*'评分依据'!E42+'评分依据'!G43*'评分依据'!E43+'评分依据'!G44*'评分依据'!E44+'评分依据'!G45*'评分依据'!E45+'评分依据'!G49*'评分依据'!E49)/5/52*100,"")</f>
        <v>90</v>
      </c>
      <c r="I21" s="26">
        <f>IF(SUM('评分依据'!K54,'评分依据'!K55,'评分依据'!K56,'评分依据'!K57,'评分依据'!K61)=52,('评分依据'!G54*'评分依据'!E54+'评分依据'!G55*'评分依据'!E55+'评分依据'!G56*'评分依据'!E56+'评分依据'!G57*'评分依据'!E57+'评分依据'!G61*'评分依据'!E61)/5/52*100,"")</f>
        <v>90</v>
      </c>
      <c r="J21" s="26" t="str">
        <f>IF(SUM('评分依据'!K66,'评分依据'!K67,'评分依据'!K68,'评分依据'!K69,'评分依据'!K73)=52,('评分依据'!G66*'评分依据'!E66+'评分依据'!G67*'评分依据'!E67+'评分依据'!G68*'评分依据'!E68+'评分依据'!G69*'评分依据'!E69+'评分依据'!G73*'评分依据'!E73)/5/52*100,"")</f>
        <v/>
      </c>
    </row>
    <row r="22" ht="28.5" customHeight="1">
      <c r="A22" s="1" t="s">
        <v>147</v>
      </c>
      <c r="B22" s="1"/>
      <c r="C22" s="27">
        <f>SUMIFS('项目对照'!C9:C20,'项目对照'!L9:L20,"有效")/100</f>
        <v>0</v>
      </c>
      <c r="D22" s="27">
        <v>1.0</v>
      </c>
      <c r="E22" s="27">
        <f>SUM('评分依据'!K6:K17)/100</f>
        <v>0.52</v>
      </c>
      <c r="F22" s="27">
        <f>SUM('评分依据'!K18:K29)/100</f>
        <v>0.94</v>
      </c>
      <c r="G22" s="27">
        <f>SUM('评分依据'!K30:K41)/100</f>
        <v>0.94</v>
      </c>
      <c r="H22" s="27">
        <f>SUM('评分依据'!K42:K53)/100</f>
        <v>0.73</v>
      </c>
      <c r="I22" s="27">
        <f>SUM('评分依据'!K54:K65)/100</f>
        <v>0.84</v>
      </c>
      <c r="J22" s="27">
        <f>SUM('评分依据'!K66:K77)/100</f>
        <v>0</v>
      </c>
    </row>
    <row r="23" ht="28.5" customHeight="1">
      <c r="A23" s="1" t="s">
        <v>524</v>
      </c>
      <c r="B23" s="1"/>
      <c r="C23" s="12" t="str">
        <f>IF(ISNUMBER('项目对照'!D25),'项目对照'!D25,"")</f>
        <v/>
      </c>
      <c r="D23" s="12">
        <f>IF(ISNUMBER('项目对照'!D26),'项目对照'!D26,"")</f>
        <v>85.4</v>
      </c>
      <c r="E23" s="12" t="str">
        <f>IF(E22=1,SUMPRODUCT('评分依据'!E6:E17,'评分依据'!F6:F17)/5,"")</f>
        <v/>
      </c>
      <c r="F23" s="12" t="str">
        <f>IF(F22=1,SUMPRODUCT('评分依据'!E18:E29,'评分依据'!F18:F29)/5,"")</f>
        <v/>
      </c>
      <c r="G23" s="12" t="str">
        <f>IF(G22=1,SUMPRODUCT('评分依据'!E30:E41,'评分依据'!F30:F41)/5,"")</f>
        <v/>
      </c>
      <c r="H23" s="12" t="str">
        <f>IF(H22=1,SUMPRODUCT('评分依据'!E42:E53,'评分依据'!F42:F53)/5,"")</f>
        <v/>
      </c>
      <c r="I23" s="12" t="str">
        <f>IF(I22=1,SUMPRODUCT('评分依据'!E54:E65,'评分依据'!F54:F65)/5,"")</f>
        <v/>
      </c>
      <c r="J23" s="12" t="str">
        <f>IF(J22=1,SUMPRODUCT('评分依据'!E66:E77,'评分依据'!F66:F77)/5,"")</f>
        <v/>
      </c>
    </row>
    <row r="24" ht="28.5" customHeight="1">
      <c r="A24" s="1" t="s">
        <v>525</v>
      </c>
      <c r="B24" s="1"/>
      <c r="C24" s="12" t="str">
        <f t="shared" ref="C24:D24" si="2">IF(ISNUMBER(C23),C23,"")</f>
        <v/>
      </c>
      <c r="D24" s="12">
        <f t="shared" si="2"/>
        <v>85.4</v>
      </c>
      <c r="E24" s="12" t="str">
        <f>IF(E22=1,SUMPRODUCT('评分依据'!E6:E17,'评分依据'!G6:G17)/5,"")</f>
        <v/>
      </c>
      <c r="F24" s="12" t="str">
        <f>IF(F22=1,SUMPRODUCT('评分依据'!E18:E29,'评分依据'!G18:G29)/5,"")</f>
        <v/>
      </c>
      <c r="G24" s="12" t="str">
        <f>IF(G22=1,SUMPRODUCT('评分依据'!E30:E41,'评分依据'!G30:G41)/5,"")</f>
        <v/>
      </c>
      <c r="H24" s="12" t="str">
        <f>IF(H22=1,SUMPRODUCT('评分依据'!E42:E53,'评分依据'!G42:G53)/5,"")</f>
        <v/>
      </c>
      <c r="I24" s="12" t="str">
        <f>IF(I22=1,SUMPRODUCT('评分依据'!E54:E65,'评分依据'!G54:G65)/5,"")</f>
        <v/>
      </c>
      <c r="J24" s="12" t="str">
        <f>IF(J22=1,SUMPRODUCT('评分依据'!E66:E77,'评分依据'!G66:G77)/5,"")</f>
        <v/>
      </c>
    </row>
    <row r="25" ht="28.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28.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28.5" customHeight="1">
      <c r="A27" s="1" t="s">
        <v>526</v>
      </c>
      <c r="B27" s="1"/>
      <c r="C27" s="1"/>
      <c r="D27" s="1"/>
      <c r="E27" s="1"/>
      <c r="F27" s="1"/>
      <c r="G27" s="1"/>
      <c r="H27" s="1"/>
      <c r="I27" s="1"/>
      <c r="J27" s="1"/>
    </row>
    <row r="28" ht="28.5" customHeight="1">
      <c r="A28" s="1" t="s">
        <v>527</v>
      </c>
      <c r="B28" s="1"/>
      <c r="C28" s="1"/>
      <c r="D28" s="1"/>
      <c r="E28" s="1"/>
      <c r="F28" s="1"/>
      <c r="G28" s="1"/>
      <c r="H28" s="1"/>
      <c r="I28" s="1"/>
      <c r="J28" s="1"/>
    </row>
    <row r="29" ht="28.5" customHeight="1">
      <c r="A29" s="1" t="s">
        <v>528</v>
      </c>
      <c r="B29" s="1"/>
      <c r="C29" s="1"/>
      <c r="D29" s="1"/>
      <c r="E29" s="1"/>
      <c r="F29" s="1"/>
      <c r="G29" s="1"/>
      <c r="H29" s="1"/>
      <c r="I29" s="1"/>
      <c r="J29" s="1"/>
    </row>
    <row r="30" ht="28.5" customHeight="1">
      <c r="A30" s="1" t="s">
        <v>529</v>
      </c>
      <c r="B30" s="1"/>
      <c r="C30" s="1"/>
      <c r="D30" s="1"/>
      <c r="E30" s="1"/>
      <c r="F30" s="1"/>
      <c r="G30" s="1"/>
      <c r="H30" s="1"/>
      <c r="I30" s="1"/>
      <c r="J30" s="1"/>
    </row>
    <row r="31" ht="28.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28.5" customHeight="1">
      <c r="A32" s="1" t="s">
        <v>530</v>
      </c>
      <c r="B32" s="1" t="s">
        <v>531</v>
      </c>
      <c r="C32" s="1"/>
      <c r="D32" s="1"/>
      <c r="E32" s="1"/>
      <c r="F32" s="1"/>
      <c r="G32" s="1"/>
      <c r="H32" s="1"/>
      <c r="I32" s="1"/>
      <c r="J32" s="1"/>
    </row>
    <row r="33" ht="28.5" customHeight="1">
      <c r="A33" s="1"/>
      <c r="B33" s="1" t="s">
        <v>532</v>
      </c>
      <c r="C33" s="1"/>
      <c r="D33" s="1"/>
      <c r="E33" s="1"/>
      <c r="F33" s="1"/>
      <c r="G33" s="1"/>
      <c r="H33" s="1"/>
      <c r="I33" s="1"/>
      <c r="J33" s="1"/>
    </row>
    <row r="34" ht="28.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28.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28.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28.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364D"/>
    <pageSetUpPr/>
  </sheetPr>
  <sheetViews>
    <sheetView showGridLines="0"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2.63" defaultRowHeight="15.0"/>
  <cols>
    <col customWidth="1" min="1" max="1" width="10.5"/>
    <col customWidth="1" min="2" max="2" width="25.0"/>
    <col customWidth="1" min="3" max="3" width="8.13"/>
    <col customWidth="1" min="4" max="4" width="12.5"/>
    <col customWidth="1" min="5" max="6" width="11.75"/>
    <col customWidth="1" min="7" max="8" width="14.38"/>
    <col customWidth="1" min="9" max="9" width="13.13"/>
    <col customWidth="1" min="10" max="10" width="14.0"/>
    <col customWidth="1" min="11" max="11" width="40.0"/>
    <col customWidth="1" min="12" max="13" width="12.5"/>
    <col customWidth="1" min="14" max="26" width="8.63"/>
  </cols>
  <sheetData>
    <row r="1" ht="28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6.75" customHeight="1">
      <c r="A2" s="2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28.5" customHeight="1">
      <c r="A4" s="1" t="s">
        <v>7</v>
      </c>
      <c r="B4" s="7" t="s">
        <v>24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8.5" customHeight="1">
      <c r="A5" s="1" t="s">
        <v>38</v>
      </c>
      <c r="B5" s="7"/>
      <c r="C5" s="7"/>
      <c r="D5" s="1" t="s">
        <v>43</v>
      </c>
      <c r="E5" s="7"/>
      <c r="F5" s="7"/>
      <c r="G5" s="1"/>
      <c r="H5" s="1"/>
      <c r="I5" s="1"/>
      <c r="J5" s="1"/>
      <c r="K5" s="1"/>
      <c r="L5" s="1"/>
      <c r="M5" s="1"/>
    </row>
    <row r="6" ht="28.5" customHeight="1">
      <c r="A6" s="1" t="s">
        <v>50</v>
      </c>
      <c r="B6" s="1" t="str">
        <f t="array" ref="B6">INDEX('样本与方法'!$C$7:$C$12,MATCH(B4,'样本与方法'!$A$7:$A$12,0))</f>
        <v>PC Ultra，2025首发窗口；结构/动画辅以预设未明的PC评测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ht="28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ht="37.5" customHeight="1">
      <c r="A8" s="4" t="s">
        <v>90</v>
      </c>
      <c r="B8" s="5" t="s">
        <v>10</v>
      </c>
      <c r="C8" s="5" t="s">
        <v>25</v>
      </c>
      <c r="D8" s="5" t="s">
        <v>95</v>
      </c>
      <c r="E8" s="5" t="s">
        <v>97</v>
      </c>
      <c r="F8" s="5" t="s">
        <v>101</v>
      </c>
      <c r="G8" s="5" t="s">
        <v>103</v>
      </c>
      <c r="H8" s="5" t="s">
        <v>106</v>
      </c>
      <c r="I8" s="5" t="s">
        <v>107</v>
      </c>
      <c r="J8" s="5" t="s">
        <v>108</v>
      </c>
      <c r="K8" s="5" t="s">
        <v>110</v>
      </c>
      <c r="L8" s="5" t="s">
        <v>112</v>
      </c>
      <c r="M8" s="6" t="s">
        <v>114</v>
      </c>
    </row>
    <row r="9" ht="48.75" customHeight="1">
      <c r="A9" s="8" t="s">
        <v>39</v>
      </c>
      <c r="B9" s="8" t="s">
        <v>41</v>
      </c>
      <c r="C9" s="11">
        <v>6.0</v>
      </c>
      <c r="D9" s="17"/>
      <c r="E9" s="11">
        <f>IF(COUNTIFS('评分依据'!$B$6:$B$77,$B$4,'评分依据'!$C$6:$C$77,A9,'评分依据'!$K$6:$K$77,"&gt;0")=0,"",SUMIFS('评分依据'!$F$6:$F$77,'评分依据'!$B$6:$B$77,$B$4,'评分依据'!$C$6:$C$77,A9))</f>
        <v>4</v>
      </c>
      <c r="F9" s="11">
        <f>IF(ISNUMBER(E9),SUMIFS('评分依据'!$G$6:$G$77,'评分依据'!$B$6:$B$77,$B$4,'评分依据'!$C$6:$C$77,A9),"")</f>
        <v>4.5</v>
      </c>
      <c r="G9" s="20" t="str">
        <f t="shared" ref="G9:G20" si="1">IF(AND(L9="有效",ISNUMBER(E9)),D9-E9,"")</f>
        <v/>
      </c>
      <c r="H9" s="20" t="str">
        <f t="shared" ref="H9:H20" si="2">IF(AND(L9="有效",ISNUMBER(F9)),D9-F9,"")</f>
        <v/>
      </c>
      <c r="I9" s="17">
        <v>4.0</v>
      </c>
      <c r="J9" s="17" t="str">
        <f t="shared" ref="J9:J20" si="3">IF(AND(L9="有效",ISNUMBER(I9),I9&gt;=0,I9&lt;=5),MAX(0,I9-D9)/5*C9,"")</f>
        <v/>
      </c>
      <c r="K9" s="21"/>
      <c r="L9" s="8" t="str">
        <f t="shared" ref="L9:L20" si="4">IF(ISNUMBER(D9),IF(AND(D9&gt;=0,D9&lt;=5),"有效","请填0–5"),IF(D9="","待填","请填0–5"))</f>
        <v>待填</v>
      </c>
      <c r="M9" s="8">
        <v>6.0</v>
      </c>
    </row>
    <row r="10" ht="48.75" customHeight="1">
      <c r="A10" s="13" t="s">
        <v>87</v>
      </c>
      <c r="B10" s="13" t="s">
        <v>89</v>
      </c>
      <c r="C10" s="16">
        <v>12.0</v>
      </c>
      <c r="D10" s="17"/>
      <c r="E10" s="16">
        <f>IF(COUNTIFS('评分依据'!$B$6:$B$77,$B$4,'评分依据'!$C$6:$C$77,A10,'评分依据'!$K$6:$K$77,"&gt;0")=0,"",SUMIFS('评分依据'!$F$6:$F$77,'评分依据'!$B$6:$B$77,$B$4,'评分依据'!$C$6:$C$77,A10))</f>
        <v>4</v>
      </c>
      <c r="F10" s="16">
        <f>IF(ISNUMBER(E10),SUMIFS('评分依据'!$G$6:$G$77,'评分依据'!$B$6:$B$77,$B$4,'评分依据'!$C$6:$C$77,A10),"")</f>
        <v>4.5</v>
      </c>
      <c r="G10" s="22" t="str">
        <f t="shared" si="1"/>
        <v/>
      </c>
      <c r="H10" s="22" t="str">
        <f t="shared" si="2"/>
        <v/>
      </c>
      <c r="I10" s="17">
        <v>4.5</v>
      </c>
      <c r="J10" s="17" t="str">
        <f t="shared" si="3"/>
        <v/>
      </c>
      <c r="K10" s="21"/>
      <c r="L10" s="13" t="str">
        <f t="shared" si="4"/>
        <v>待填</v>
      </c>
      <c r="M10" s="13">
        <v>12.0</v>
      </c>
    </row>
    <row r="11" ht="48.75" customHeight="1">
      <c r="A11" s="8" t="s">
        <v>115</v>
      </c>
      <c r="B11" s="8" t="s">
        <v>116</v>
      </c>
      <c r="C11" s="11">
        <v>10.0</v>
      </c>
      <c r="D11" s="17"/>
      <c r="E11" s="11">
        <f>IF(COUNTIFS('评分依据'!$B$6:$B$77,$B$4,'评分依据'!$C$6:$C$77,A11,'评分依据'!$K$6:$K$77,"&gt;0")=0,"",SUMIFS('评分依据'!$F$6:$F$77,'评分依据'!$B$6:$B$77,$B$4,'评分依据'!$C$6:$C$77,A11))</f>
        <v>4</v>
      </c>
      <c r="F11" s="11">
        <f>IF(ISNUMBER(E11),SUMIFS('评分依据'!$G$6:$G$77,'评分依据'!$B$6:$B$77,$B$4,'评分依据'!$C$6:$C$77,A11),"")</f>
        <v>4.5</v>
      </c>
      <c r="G11" s="20" t="str">
        <f t="shared" si="1"/>
        <v/>
      </c>
      <c r="H11" s="20" t="str">
        <f t="shared" si="2"/>
        <v/>
      </c>
      <c r="I11" s="17">
        <v>4.5</v>
      </c>
      <c r="J11" s="17" t="str">
        <f t="shared" si="3"/>
        <v/>
      </c>
      <c r="K11" s="21"/>
      <c r="L11" s="8" t="str">
        <f t="shared" si="4"/>
        <v>待填</v>
      </c>
      <c r="M11" s="8">
        <v>10.0</v>
      </c>
    </row>
    <row r="12" ht="48.75" customHeight="1">
      <c r="A12" s="13" t="s">
        <v>126</v>
      </c>
      <c r="B12" s="13" t="s">
        <v>128</v>
      </c>
      <c r="C12" s="16">
        <v>14.0</v>
      </c>
      <c r="D12" s="17"/>
      <c r="E12" s="16">
        <f>IF(COUNTIFS('评分依据'!$B$6:$B$77,$B$4,'评分依据'!$C$6:$C$77,A12,'评分依据'!$K$6:$K$77,"&gt;0")=0,"",SUMIFS('评分依据'!$F$6:$F$77,'评分依据'!$B$6:$B$77,$B$4,'评分依据'!$C$6:$C$77,A12))</f>
        <v>4</v>
      </c>
      <c r="F12" s="16">
        <f>IF(ISNUMBER(E12),SUMIFS('评分依据'!$G$6:$G$77,'评分依据'!$B$6:$B$77,$B$4,'评分依据'!$C$6:$C$77,A12),"")</f>
        <v>4.5</v>
      </c>
      <c r="G12" s="22" t="str">
        <f t="shared" si="1"/>
        <v/>
      </c>
      <c r="H12" s="22" t="str">
        <f t="shared" si="2"/>
        <v/>
      </c>
      <c r="I12" s="17">
        <v>4.5</v>
      </c>
      <c r="J12" s="17" t="str">
        <f t="shared" si="3"/>
        <v/>
      </c>
      <c r="K12" s="21"/>
      <c r="L12" s="13" t="str">
        <f t="shared" si="4"/>
        <v>待填</v>
      </c>
      <c r="M12" s="13">
        <v>14.0</v>
      </c>
    </row>
    <row r="13" ht="48.75" customHeight="1">
      <c r="A13" s="8" t="s">
        <v>139</v>
      </c>
      <c r="B13" s="8" t="s">
        <v>140</v>
      </c>
      <c r="C13" s="11">
        <v>8.0</v>
      </c>
      <c r="D13" s="17"/>
      <c r="E13" s="11" t="str">
        <f>IF(COUNTIFS('评分依据'!$B$6:$B$77,$B$4,'评分依据'!$C$6:$C$77,A13,'评分依据'!$K$6:$K$77,"&gt;0")=0,"",SUMIFS('评分依据'!$F$6:$F$77,'评分依据'!$B$6:$B$77,$B$4,'评分依据'!$C$6:$C$77,A13))</f>
        <v/>
      </c>
      <c r="F13" s="11" t="str">
        <f>IF(ISNUMBER(E13),SUMIFS('评分依据'!$G$6:$G$77,'评分依据'!$B$6:$B$77,$B$4,'评分依据'!$C$6:$C$77,A13),"")</f>
        <v/>
      </c>
      <c r="G13" s="20" t="str">
        <f t="shared" si="1"/>
        <v/>
      </c>
      <c r="H13" s="20" t="str">
        <f t="shared" si="2"/>
        <v/>
      </c>
      <c r="I13" s="17">
        <v>4.0</v>
      </c>
      <c r="J13" s="17" t="str">
        <f t="shared" si="3"/>
        <v/>
      </c>
      <c r="K13" s="21"/>
      <c r="L13" s="8" t="str">
        <f t="shared" si="4"/>
        <v>待填</v>
      </c>
      <c r="M13" s="8">
        <v>0.0</v>
      </c>
    </row>
    <row r="14" ht="48.75" customHeight="1">
      <c r="A14" s="13" t="s">
        <v>151</v>
      </c>
      <c r="B14" s="13" t="s">
        <v>153</v>
      </c>
      <c r="C14" s="16">
        <v>6.0</v>
      </c>
      <c r="D14" s="17"/>
      <c r="E14" s="16" t="str">
        <f>IF(COUNTIFS('评分依据'!$B$6:$B$77,$B$4,'评分依据'!$C$6:$C$77,A14,'评分依据'!$K$6:$K$77,"&gt;0")=0,"",SUMIFS('评分依据'!$F$6:$F$77,'评分依据'!$B$6:$B$77,$B$4,'评分依据'!$C$6:$C$77,A14))</f>
        <v/>
      </c>
      <c r="F14" s="16" t="str">
        <f>IF(ISNUMBER(E14),SUMIFS('评分依据'!$G$6:$G$77,'评分依据'!$B$6:$B$77,$B$4,'评分依据'!$C$6:$C$77,A14),"")</f>
        <v/>
      </c>
      <c r="G14" s="22" t="str">
        <f t="shared" si="1"/>
        <v/>
      </c>
      <c r="H14" s="22" t="str">
        <f t="shared" si="2"/>
        <v/>
      </c>
      <c r="I14" s="17">
        <v>4.0</v>
      </c>
      <c r="J14" s="17" t="str">
        <f t="shared" si="3"/>
        <v/>
      </c>
      <c r="K14" s="21"/>
      <c r="L14" s="13" t="str">
        <f t="shared" si="4"/>
        <v>待填</v>
      </c>
      <c r="M14" s="13">
        <v>0.0</v>
      </c>
    </row>
    <row r="15" ht="48.75" customHeight="1">
      <c r="A15" s="8" t="s">
        <v>162</v>
      </c>
      <c r="B15" s="8" t="s">
        <v>163</v>
      </c>
      <c r="C15" s="11">
        <v>5.0</v>
      </c>
      <c r="D15" s="17"/>
      <c r="E15" s="11" t="str">
        <f>IF(COUNTIFS('评分依据'!$B$6:$B$77,$B$4,'评分依据'!$C$6:$C$77,A15,'评分依据'!$K$6:$K$77,"&gt;0")=0,"",SUMIFS('评分依据'!$F$6:$F$77,'评分依据'!$B$6:$B$77,$B$4,'评分依据'!$C$6:$C$77,A15))</f>
        <v/>
      </c>
      <c r="F15" s="11" t="str">
        <f>IF(ISNUMBER(E15),SUMIFS('评分依据'!$G$6:$G$77,'评分依据'!$B$6:$B$77,$B$4,'评分依据'!$C$6:$C$77,A15),"")</f>
        <v/>
      </c>
      <c r="G15" s="20" t="str">
        <f t="shared" si="1"/>
        <v/>
      </c>
      <c r="H15" s="20" t="str">
        <f t="shared" si="2"/>
        <v/>
      </c>
      <c r="I15" s="17">
        <v>4.0</v>
      </c>
      <c r="J15" s="17" t="str">
        <f t="shared" si="3"/>
        <v/>
      </c>
      <c r="K15" s="21"/>
      <c r="L15" s="8" t="str">
        <f t="shared" si="4"/>
        <v>待填</v>
      </c>
      <c r="M15" s="8">
        <v>0.0</v>
      </c>
    </row>
    <row r="16" ht="48.75" customHeight="1">
      <c r="A16" s="13" t="s">
        <v>172</v>
      </c>
      <c r="B16" s="13" t="s">
        <v>173</v>
      </c>
      <c r="C16" s="16">
        <v>10.0</v>
      </c>
      <c r="D16" s="17"/>
      <c r="E16" s="16">
        <f>IF(COUNTIFS('评分依据'!$B$6:$B$77,$B$4,'评分依据'!$C$6:$C$77,A16,'评分依据'!$K$6:$K$77,"&gt;0")=0,"",SUMIFS('评分依据'!$F$6:$F$77,'评分依据'!$B$6:$B$77,$B$4,'评分依据'!$C$6:$C$77,A16))</f>
        <v>3.5</v>
      </c>
      <c r="F16" s="16">
        <f>IF(ISNUMBER(E16),SUMIFS('评分依据'!$G$6:$G$77,'评分依据'!$B$6:$B$77,$B$4,'评分依据'!$C$6:$C$77,A16),"")</f>
        <v>4</v>
      </c>
      <c r="G16" s="22" t="str">
        <f t="shared" si="1"/>
        <v/>
      </c>
      <c r="H16" s="22" t="str">
        <f t="shared" si="2"/>
        <v/>
      </c>
      <c r="I16" s="17">
        <v>4.5</v>
      </c>
      <c r="J16" s="17" t="str">
        <f t="shared" si="3"/>
        <v/>
      </c>
      <c r="K16" s="21"/>
      <c r="L16" s="13" t="str">
        <f t="shared" si="4"/>
        <v>待填</v>
      </c>
      <c r="M16" s="13">
        <v>10.0</v>
      </c>
    </row>
    <row r="17" ht="48.75" customHeight="1">
      <c r="A17" s="8" t="s">
        <v>181</v>
      </c>
      <c r="B17" s="8" t="s">
        <v>182</v>
      </c>
      <c r="C17" s="11">
        <v>8.0</v>
      </c>
      <c r="D17" s="17"/>
      <c r="E17" s="11" t="str">
        <f>IF(COUNTIFS('评分依据'!$B$6:$B$77,$B$4,'评分依据'!$C$6:$C$77,A17,'评分依据'!$K$6:$K$77,"&gt;0")=0,"",SUMIFS('评分依据'!$F$6:$F$77,'评分依据'!$B$6:$B$77,$B$4,'评分依据'!$C$6:$C$77,A17))</f>
        <v/>
      </c>
      <c r="F17" s="11" t="str">
        <f>IF(ISNUMBER(E17),SUMIFS('评分依据'!$G$6:$G$77,'评分依据'!$B$6:$B$77,$B$4,'评分依据'!$C$6:$C$77,A17),"")</f>
        <v/>
      </c>
      <c r="G17" s="20" t="str">
        <f t="shared" si="1"/>
        <v/>
      </c>
      <c r="H17" s="20" t="str">
        <f t="shared" si="2"/>
        <v/>
      </c>
      <c r="I17" s="17">
        <v>4.5</v>
      </c>
      <c r="J17" s="17" t="str">
        <f t="shared" si="3"/>
        <v/>
      </c>
      <c r="K17" s="21"/>
      <c r="L17" s="8" t="str">
        <f t="shared" si="4"/>
        <v>待填</v>
      </c>
      <c r="M17" s="8">
        <v>0.0</v>
      </c>
    </row>
    <row r="18" ht="48.75" customHeight="1">
      <c r="A18" s="13" t="s">
        <v>187</v>
      </c>
      <c r="B18" s="13" t="s">
        <v>188</v>
      </c>
      <c r="C18" s="16">
        <v>10.0</v>
      </c>
      <c r="D18" s="17"/>
      <c r="E18" s="16" t="str">
        <f>IF(COUNTIFS('评分依据'!$B$6:$B$77,$B$4,'评分依据'!$C$6:$C$77,A18,'评分依据'!$K$6:$K$77,"&gt;0")=0,"",SUMIFS('评分依据'!$F$6:$F$77,'评分依据'!$B$6:$B$77,$B$4,'评分依据'!$C$6:$C$77,A18))</f>
        <v/>
      </c>
      <c r="F18" s="16" t="str">
        <f>IF(ISNUMBER(E18),SUMIFS('评分依据'!$G$6:$G$77,'评分依据'!$B$6:$B$77,$B$4,'评分依据'!$C$6:$C$77,A18),"")</f>
        <v/>
      </c>
      <c r="G18" s="22" t="str">
        <f t="shared" si="1"/>
        <v/>
      </c>
      <c r="H18" s="22" t="str">
        <f t="shared" si="2"/>
        <v/>
      </c>
      <c r="I18" s="17">
        <v>4.0</v>
      </c>
      <c r="J18" s="17" t="str">
        <f t="shared" si="3"/>
        <v/>
      </c>
      <c r="K18" s="21"/>
      <c r="L18" s="13" t="str">
        <f t="shared" si="4"/>
        <v>待填</v>
      </c>
      <c r="M18" s="13">
        <v>0.0</v>
      </c>
    </row>
    <row r="19" ht="48.75" customHeight="1">
      <c r="A19" s="8" t="s">
        <v>197</v>
      </c>
      <c r="B19" s="8" t="s">
        <v>198</v>
      </c>
      <c r="C19" s="11">
        <v>6.0</v>
      </c>
      <c r="D19" s="17"/>
      <c r="E19" s="11" t="str">
        <f>IF(COUNTIFS('评分依据'!$B$6:$B$77,$B$4,'评分依据'!$C$6:$C$77,A19,'评分依据'!$K$6:$K$77,"&gt;0")=0,"",SUMIFS('评分依据'!$F$6:$F$77,'评分依据'!$B$6:$B$77,$B$4,'评分依据'!$C$6:$C$77,A19))</f>
        <v/>
      </c>
      <c r="F19" s="11" t="str">
        <f>IF(ISNUMBER(E19),SUMIFS('评分依据'!$G$6:$G$77,'评分依据'!$B$6:$B$77,$B$4,'评分依据'!$C$6:$C$77,A19),"")</f>
        <v/>
      </c>
      <c r="G19" s="20" t="str">
        <f t="shared" si="1"/>
        <v/>
      </c>
      <c r="H19" s="20" t="str">
        <f t="shared" si="2"/>
        <v/>
      </c>
      <c r="I19" s="17">
        <v>4.0</v>
      </c>
      <c r="J19" s="17" t="str">
        <f t="shared" si="3"/>
        <v/>
      </c>
      <c r="K19" s="21"/>
      <c r="L19" s="8" t="str">
        <f t="shared" si="4"/>
        <v>待填</v>
      </c>
      <c r="M19" s="8">
        <v>0.0</v>
      </c>
    </row>
    <row r="20" ht="48.75" customHeight="1">
      <c r="A20" s="13" t="s">
        <v>208</v>
      </c>
      <c r="B20" s="13" t="s">
        <v>209</v>
      </c>
      <c r="C20" s="16">
        <v>5.0</v>
      </c>
      <c r="D20" s="17"/>
      <c r="E20" s="16" t="str">
        <f>IF(COUNTIFS('评分依据'!$B$6:$B$77,$B$4,'评分依据'!$C$6:$C$77,A20,'评分依据'!$K$6:$K$77,"&gt;0")=0,"",SUMIFS('评分依据'!$F$6:$F$77,'评分依据'!$B$6:$B$77,$B$4,'评分依据'!$C$6:$C$77,A20))</f>
        <v/>
      </c>
      <c r="F20" s="16" t="str">
        <f>IF(ISNUMBER(E20),SUMIFS('评分依据'!$G$6:$G$77,'评分依据'!$B$6:$B$77,$B$4,'评分依据'!$C$6:$C$77,A20),"")</f>
        <v/>
      </c>
      <c r="G20" s="22" t="str">
        <f t="shared" si="1"/>
        <v/>
      </c>
      <c r="H20" s="22" t="str">
        <f t="shared" si="2"/>
        <v/>
      </c>
      <c r="I20" s="17">
        <v>4.0</v>
      </c>
      <c r="J20" s="17" t="str">
        <f t="shared" si="3"/>
        <v/>
      </c>
      <c r="K20" s="21"/>
      <c r="L20" s="13" t="str">
        <f t="shared" si="4"/>
        <v>待填</v>
      </c>
      <c r="M20" s="13">
        <v>0.0</v>
      </c>
    </row>
    <row r="21" ht="28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ht="28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28.5" customHeight="1">
      <c r="A23" s="1" t="s">
        <v>512</v>
      </c>
      <c r="B23" s="1"/>
      <c r="C23" s="1"/>
      <c r="D23" s="24" t="str">
        <f>IF(COUNTIFS(L9:L20,"有效",M9:M20,"&gt;0")=5,SUMPRODUCT(D9:D20,M9:M20)/5/SUM(M9:M20)*100,"")</f>
        <v/>
      </c>
      <c r="E23" s="1"/>
      <c r="F23" s="1"/>
      <c r="G23" s="1"/>
      <c r="H23" s="1"/>
      <c r="I23" s="1"/>
      <c r="J23" s="1"/>
      <c r="K23" s="1"/>
      <c r="L23" s="1"/>
      <c r="M23" s="1"/>
    </row>
    <row r="24" ht="28.5" customHeight="1">
      <c r="A24" s="1" t="s">
        <v>514</v>
      </c>
      <c r="B24" s="1"/>
      <c r="C24" s="1"/>
      <c r="D24" s="24">
        <f>COUNTIFS(L9:L20,"有效")</f>
        <v>0</v>
      </c>
      <c r="E24" s="1"/>
      <c r="F24" s="1"/>
      <c r="G24" s="1"/>
      <c r="H24" s="1"/>
      <c r="I24" s="1"/>
      <c r="J24" s="1"/>
      <c r="K24" s="1"/>
      <c r="L24" s="1"/>
      <c r="M24" s="1"/>
    </row>
    <row r="25" ht="28.5" customHeight="1">
      <c r="A25" s="1" t="s">
        <v>515</v>
      </c>
      <c r="B25" s="1"/>
      <c r="C25" s="1"/>
      <c r="D25" s="24" t="str">
        <f>IF(COUNTIFS(L9:L20,"有效")=12,SUMPRODUCT(C9:C20,D9:D20)/5,"")</f>
        <v/>
      </c>
      <c r="E25" s="1"/>
      <c r="F25" s="1"/>
      <c r="G25" s="1"/>
      <c r="H25" s="1"/>
      <c r="I25" s="1"/>
      <c r="J25" s="1"/>
      <c r="K25" s="1"/>
      <c r="L25" s="1"/>
      <c r="M25" s="1"/>
    </row>
    <row r="26" ht="28.5" customHeight="1">
      <c r="A26" s="1" t="s">
        <v>516</v>
      </c>
      <c r="B26" s="1"/>
      <c r="C26" s="1"/>
      <c r="D26" s="24">
        <f>IF(COUNT(I9:I20)=12,IF(AND(MIN(I9:I20)&gt;=0,MAX(I9:I20)&lt;=5),SUMPRODUCT(C9:C20,I9:I20)/5,""),"")</f>
        <v>85.4</v>
      </c>
      <c r="E26" s="1"/>
      <c r="F26" s="1"/>
      <c r="G26" s="1"/>
      <c r="H26" s="1"/>
      <c r="I26" s="1"/>
      <c r="J26" s="1"/>
      <c r="K26" s="1"/>
      <c r="L26" s="1"/>
      <c r="M26" s="1"/>
    </row>
    <row r="27" ht="28.5" customHeight="1">
      <c r="A27" s="1" t="s">
        <v>517</v>
      </c>
      <c r="B27" s="1"/>
      <c r="C27" s="1"/>
      <c r="D27" s="24" t="str">
        <f>IF(COUNT(J9:J20)=0,"",SUM(J9:J20))</f>
        <v/>
      </c>
      <c r="E27" s="1"/>
      <c r="F27" s="1"/>
      <c r="G27" s="1"/>
      <c r="H27" s="1"/>
      <c r="I27" s="1"/>
      <c r="J27" s="1"/>
      <c r="K27" s="1"/>
      <c r="L27" s="1"/>
      <c r="M27" s="1"/>
    </row>
    <row r="28" ht="28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ht="28.5" customHeight="1">
      <c r="A29" s="1" t="s">
        <v>518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28.5" customHeight="1">
      <c r="A30" s="1" t="s">
        <v>519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28.5" customHeight="1">
      <c r="A31" s="1" t="s">
        <v>521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28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28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28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28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28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28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28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28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28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9:D20">
    <cfRule type="expression" dxfId="0" priority="1">
      <formula>AND(D9&lt;&gt;"",OR(NOT(ISNUMBER(D9)),D9&lt;0,D9&gt;5))</formula>
    </cfRule>
  </conditionalFormatting>
  <conditionalFormatting sqref="G9:H20">
    <cfRule type="expression" dxfId="0" priority="2">
      <formula>AND(ISNUMBER(G9),G9&lt;0)</formula>
    </cfRule>
  </conditionalFormatting>
  <dataValidations>
    <dataValidation type="list" allowBlank="1" sqref="B4">
      <formula1>"合金装备Delta：食蛇者,黑神话：悟空,地狱之刃2：塞娜的史诗,寂静岭2重制版,恶魔之魂重制版,影之刃零（待发售）"</formula1>
    </dataValidation>
    <dataValidation type="decimal" allowBlank="1" sqref="D9:D20 I9:I20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/>
  <cols>
    <col customWidth="1" min="1" max="1" width="12.5"/>
    <col customWidth="1" min="2" max="2" width="22.5"/>
    <col customWidth="1" min="3" max="3" width="6.25"/>
    <col customWidth="1" min="4" max="4" width="21.25"/>
    <col customWidth="1" min="5" max="5" width="8.13"/>
    <col customWidth="1" min="6" max="7" width="9.75"/>
    <col customWidth="1" min="8" max="8" width="37.5"/>
    <col customWidth="1" min="9" max="9" width="21.25"/>
    <col customWidth="1" min="10" max="10" width="37.5"/>
    <col customWidth="1" min="11" max="11" width="13.13"/>
    <col customWidth="1" min="12" max="12" width="3.0"/>
    <col customWidth="1" min="13" max="26" width="8.63"/>
  </cols>
  <sheetData>
    <row r="1" ht="28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6.7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8.5" customHeight="1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37.5" customHeight="1">
      <c r="A5" s="4" t="s">
        <v>6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14</v>
      </c>
      <c r="G5" s="5" t="s">
        <v>16</v>
      </c>
      <c r="H5" s="5" t="s">
        <v>18</v>
      </c>
      <c r="I5" s="5" t="s">
        <v>19</v>
      </c>
      <c r="J5" s="5" t="s">
        <v>21</v>
      </c>
      <c r="K5" s="6" t="s">
        <v>23</v>
      </c>
      <c r="L5" s="1"/>
    </row>
    <row r="6" ht="63.75" customHeight="1">
      <c r="A6" s="8" t="s">
        <v>26</v>
      </c>
      <c r="B6" s="8" t="s">
        <v>24</v>
      </c>
      <c r="C6" s="8" t="s">
        <v>39</v>
      </c>
      <c r="D6" s="8" t="s">
        <v>41</v>
      </c>
      <c r="E6" s="11">
        <v>6.0</v>
      </c>
      <c r="F6" s="11">
        <v>4.0</v>
      </c>
      <c r="G6" s="11">
        <v>4.5</v>
      </c>
      <c r="H6" s="8" t="s">
        <v>52</v>
      </c>
      <c r="I6" s="8" t="s">
        <v>53</v>
      </c>
      <c r="J6" s="8" t="s">
        <v>54</v>
      </c>
      <c r="K6" s="15">
        <f t="shared" ref="K6:K77" si="1">IF(COUNT(F6:G6)=2,E6,0)</f>
        <v>6</v>
      </c>
      <c r="L6" s="1"/>
    </row>
    <row r="7" ht="63.75" customHeight="1">
      <c r="A7" s="13" t="s">
        <v>85</v>
      </c>
      <c r="B7" s="13" t="s">
        <v>24</v>
      </c>
      <c r="C7" s="13" t="s">
        <v>87</v>
      </c>
      <c r="D7" s="13" t="s">
        <v>89</v>
      </c>
      <c r="E7" s="16">
        <v>12.0</v>
      </c>
      <c r="F7" s="16">
        <v>4.0</v>
      </c>
      <c r="G7" s="16">
        <v>4.5</v>
      </c>
      <c r="H7" s="13" t="s">
        <v>96</v>
      </c>
      <c r="I7" s="13" t="s">
        <v>100</v>
      </c>
      <c r="J7" s="13" t="s">
        <v>102</v>
      </c>
      <c r="K7" s="15">
        <f t="shared" si="1"/>
        <v>12</v>
      </c>
      <c r="L7" s="1"/>
    </row>
    <row r="8" ht="63.75" customHeight="1">
      <c r="A8" s="8" t="s">
        <v>113</v>
      </c>
      <c r="B8" s="8" t="s">
        <v>24</v>
      </c>
      <c r="C8" s="8" t="s">
        <v>115</v>
      </c>
      <c r="D8" s="8" t="s">
        <v>116</v>
      </c>
      <c r="E8" s="11">
        <v>10.0</v>
      </c>
      <c r="F8" s="11">
        <v>4.0</v>
      </c>
      <c r="G8" s="11">
        <v>4.5</v>
      </c>
      <c r="H8" s="8" t="s">
        <v>117</v>
      </c>
      <c r="I8" s="8" t="s">
        <v>119</v>
      </c>
      <c r="J8" s="8" t="s">
        <v>121</v>
      </c>
      <c r="K8" s="15">
        <f t="shared" si="1"/>
        <v>10</v>
      </c>
      <c r="L8" s="1"/>
    </row>
    <row r="9" ht="63.75" customHeight="1">
      <c r="A9" s="13" t="s">
        <v>123</v>
      </c>
      <c r="B9" s="13" t="s">
        <v>24</v>
      </c>
      <c r="C9" s="13" t="s">
        <v>126</v>
      </c>
      <c r="D9" s="13" t="s">
        <v>128</v>
      </c>
      <c r="E9" s="16">
        <v>14.0</v>
      </c>
      <c r="F9" s="16">
        <v>4.0</v>
      </c>
      <c r="G9" s="16">
        <v>4.5</v>
      </c>
      <c r="H9" s="13" t="s">
        <v>129</v>
      </c>
      <c r="I9" s="13" t="s">
        <v>131</v>
      </c>
      <c r="J9" s="13" t="s">
        <v>133</v>
      </c>
      <c r="K9" s="15">
        <f t="shared" si="1"/>
        <v>14</v>
      </c>
      <c r="L9" s="1"/>
    </row>
    <row r="10" ht="63.75" customHeight="1">
      <c r="A10" s="8" t="s">
        <v>136</v>
      </c>
      <c r="B10" s="8" t="s">
        <v>24</v>
      </c>
      <c r="C10" s="8" t="s">
        <v>139</v>
      </c>
      <c r="D10" s="8" t="s">
        <v>140</v>
      </c>
      <c r="E10" s="11">
        <v>8.0</v>
      </c>
      <c r="F10" s="11"/>
      <c r="G10" s="11"/>
      <c r="H10" s="8" t="s">
        <v>142</v>
      </c>
      <c r="I10" s="8" t="s">
        <v>144</v>
      </c>
      <c r="J10" s="8" t="s">
        <v>146</v>
      </c>
      <c r="K10" s="8">
        <f t="shared" si="1"/>
        <v>0</v>
      </c>
      <c r="L10" s="1"/>
    </row>
    <row r="11" ht="63.75" customHeight="1">
      <c r="A11" s="13" t="s">
        <v>150</v>
      </c>
      <c r="B11" s="13" t="s">
        <v>24</v>
      </c>
      <c r="C11" s="13" t="s">
        <v>151</v>
      </c>
      <c r="D11" s="13" t="s">
        <v>153</v>
      </c>
      <c r="E11" s="16">
        <v>6.0</v>
      </c>
      <c r="F11" s="16"/>
      <c r="G11" s="16"/>
      <c r="H11" s="13" t="s">
        <v>156</v>
      </c>
      <c r="I11" s="13" t="s">
        <v>157</v>
      </c>
      <c r="J11" s="13" t="s">
        <v>146</v>
      </c>
      <c r="K11" s="8">
        <f t="shared" si="1"/>
        <v>0</v>
      </c>
      <c r="L11" s="1"/>
    </row>
    <row r="12" ht="63.75" customHeight="1">
      <c r="A12" s="8" t="s">
        <v>161</v>
      </c>
      <c r="B12" s="8" t="s">
        <v>24</v>
      </c>
      <c r="C12" s="8" t="s">
        <v>162</v>
      </c>
      <c r="D12" s="8" t="s">
        <v>163</v>
      </c>
      <c r="E12" s="11">
        <v>5.0</v>
      </c>
      <c r="F12" s="11"/>
      <c r="G12" s="11"/>
      <c r="H12" s="8" t="s">
        <v>166</v>
      </c>
      <c r="I12" s="8"/>
      <c r="J12" s="8" t="s">
        <v>146</v>
      </c>
      <c r="K12" s="8">
        <f t="shared" si="1"/>
        <v>0</v>
      </c>
      <c r="L12" s="1"/>
    </row>
    <row r="13" ht="63.75" customHeight="1">
      <c r="A13" s="13" t="s">
        <v>169</v>
      </c>
      <c r="B13" s="13" t="s">
        <v>24</v>
      </c>
      <c r="C13" s="13" t="s">
        <v>172</v>
      </c>
      <c r="D13" s="13" t="s">
        <v>173</v>
      </c>
      <c r="E13" s="16">
        <v>10.0</v>
      </c>
      <c r="F13" s="16">
        <v>3.5</v>
      </c>
      <c r="G13" s="16">
        <v>4.0</v>
      </c>
      <c r="H13" s="13" t="s">
        <v>175</v>
      </c>
      <c r="I13" s="13" t="s">
        <v>177</v>
      </c>
      <c r="J13" s="13" t="s">
        <v>179</v>
      </c>
      <c r="K13" s="15">
        <f t="shared" si="1"/>
        <v>10</v>
      </c>
      <c r="L13" s="1"/>
    </row>
    <row r="14" ht="63.75" customHeight="1">
      <c r="A14" s="8" t="s">
        <v>180</v>
      </c>
      <c r="B14" s="8" t="s">
        <v>24</v>
      </c>
      <c r="C14" s="8" t="s">
        <v>181</v>
      </c>
      <c r="D14" s="8" t="s">
        <v>182</v>
      </c>
      <c r="E14" s="11">
        <v>8.0</v>
      </c>
      <c r="F14" s="11"/>
      <c r="G14" s="11"/>
      <c r="H14" s="8" t="s">
        <v>166</v>
      </c>
      <c r="I14" s="8"/>
      <c r="J14" s="8" t="s">
        <v>146</v>
      </c>
      <c r="K14" s="8">
        <f t="shared" si="1"/>
        <v>0</v>
      </c>
      <c r="L14" s="1"/>
    </row>
    <row r="15" ht="63.75" customHeight="1">
      <c r="A15" s="13" t="s">
        <v>185</v>
      </c>
      <c r="B15" s="13" t="s">
        <v>24</v>
      </c>
      <c r="C15" s="13" t="s">
        <v>187</v>
      </c>
      <c r="D15" s="13" t="s">
        <v>188</v>
      </c>
      <c r="E15" s="16">
        <v>10.0</v>
      </c>
      <c r="F15" s="16"/>
      <c r="G15" s="16"/>
      <c r="H15" s="13" t="s">
        <v>190</v>
      </c>
      <c r="I15" s="13" t="s">
        <v>144</v>
      </c>
      <c r="J15" s="13" t="s">
        <v>146</v>
      </c>
      <c r="K15" s="8">
        <f t="shared" si="1"/>
        <v>0</v>
      </c>
      <c r="L15" s="1"/>
    </row>
    <row r="16" ht="63.75" customHeight="1">
      <c r="A16" s="8" t="s">
        <v>195</v>
      </c>
      <c r="B16" s="8" t="s">
        <v>24</v>
      </c>
      <c r="C16" s="8" t="s">
        <v>197</v>
      </c>
      <c r="D16" s="8" t="s">
        <v>198</v>
      </c>
      <c r="E16" s="11">
        <v>6.0</v>
      </c>
      <c r="F16" s="11"/>
      <c r="G16" s="11"/>
      <c r="H16" s="8" t="s">
        <v>201</v>
      </c>
      <c r="I16" s="8" t="s">
        <v>157</v>
      </c>
      <c r="J16" s="8" t="s">
        <v>146</v>
      </c>
      <c r="K16" s="8">
        <f t="shared" si="1"/>
        <v>0</v>
      </c>
      <c r="L16" s="1"/>
    </row>
    <row r="17" ht="63.75" customHeight="1">
      <c r="A17" s="13" t="s">
        <v>205</v>
      </c>
      <c r="B17" s="13" t="s">
        <v>24</v>
      </c>
      <c r="C17" s="13" t="s">
        <v>208</v>
      </c>
      <c r="D17" s="13" t="s">
        <v>209</v>
      </c>
      <c r="E17" s="16">
        <v>5.0</v>
      </c>
      <c r="F17" s="16"/>
      <c r="G17" s="16"/>
      <c r="H17" s="13" t="s">
        <v>210</v>
      </c>
      <c r="I17" s="13" t="s">
        <v>157</v>
      </c>
      <c r="J17" s="13" t="s">
        <v>146</v>
      </c>
      <c r="K17" s="8">
        <f t="shared" si="1"/>
        <v>0</v>
      </c>
      <c r="L17" s="1"/>
    </row>
    <row r="18" ht="63.75" customHeight="1">
      <c r="A18" s="8" t="s">
        <v>214</v>
      </c>
      <c r="B18" s="8" t="s">
        <v>30</v>
      </c>
      <c r="C18" s="8" t="s">
        <v>39</v>
      </c>
      <c r="D18" s="8" t="s">
        <v>41</v>
      </c>
      <c r="E18" s="11">
        <v>6.0</v>
      </c>
      <c r="F18" s="11">
        <v>4.0</v>
      </c>
      <c r="G18" s="11">
        <v>4.5</v>
      </c>
      <c r="H18" s="8" t="s">
        <v>218</v>
      </c>
      <c r="I18" s="8" t="s">
        <v>219</v>
      </c>
      <c r="J18" s="8" t="s">
        <v>220</v>
      </c>
      <c r="K18" s="15">
        <f t="shared" si="1"/>
        <v>6</v>
      </c>
      <c r="L18" s="1"/>
    </row>
    <row r="19" ht="63.75" customHeight="1">
      <c r="A19" s="13" t="s">
        <v>221</v>
      </c>
      <c r="B19" s="13" t="s">
        <v>30</v>
      </c>
      <c r="C19" s="13" t="s">
        <v>87</v>
      </c>
      <c r="D19" s="13" t="s">
        <v>89</v>
      </c>
      <c r="E19" s="16">
        <v>12.0</v>
      </c>
      <c r="F19" s="16">
        <v>4.0</v>
      </c>
      <c r="G19" s="16">
        <v>4.5</v>
      </c>
      <c r="H19" s="13" t="s">
        <v>222</v>
      </c>
      <c r="I19" s="13" t="s">
        <v>223</v>
      </c>
      <c r="J19" s="13" t="s">
        <v>224</v>
      </c>
      <c r="K19" s="15">
        <f t="shared" si="1"/>
        <v>12</v>
      </c>
      <c r="L19" s="1"/>
    </row>
    <row r="20" ht="63.75" customHeight="1">
      <c r="A20" s="8" t="s">
        <v>225</v>
      </c>
      <c r="B20" s="8" t="s">
        <v>30</v>
      </c>
      <c r="C20" s="8" t="s">
        <v>115</v>
      </c>
      <c r="D20" s="8" t="s">
        <v>116</v>
      </c>
      <c r="E20" s="11">
        <v>10.0</v>
      </c>
      <c r="F20" s="11">
        <v>3.5</v>
      </c>
      <c r="G20" s="11">
        <v>4.5</v>
      </c>
      <c r="H20" s="8" t="s">
        <v>226</v>
      </c>
      <c r="I20" s="8" t="s">
        <v>227</v>
      </c>
      <c r="J20" s="8" t="s">
        <v>228</v>
      </c>
      <c r="K20" s="15">
        <f t="shared" si="1"/>
        <v>10</v>
      </c>
      <c r="L20" s="1"/>
    </row>
    <row r="21" ht="63.75" customHeight="1">
      <c r="A21" s="13" t="s">
        <v>229</v>
      </c>
      <c r="B21" s="13" t="s">
        <v>30</v>
      </c>
      <c r="C21" s="13" t="s">
        <v>126</v>
      </c>
      <c r="D21" s="13" t="s">
        <v>128</v>
      </c>
      <c r="E21" s="16">
        <v>14.0</v>
      </c>
      <c r="F21" s="16">
        <v>4.0</v>
      </c>
      <c r="G21" s="16">
        <v>4.5</v>
      </c>
      <c r="H21" s="13" t="s">
        <v>230</v>
      </c>
      <c r="I21" s="13" t="s">
        <v>231</v>
      </c>
      <c r="J21" s="13" t="s">
        <v>232</v>
      </c>
      <c r="K21" s="15">
        <f t="shared" si="1"/>
        <v>14</v>
      </c>
      <c r="L21" s="1"/>
    </row>
    <row r="22" ht="63.75" customHeight="1">
      <c r="A22" s="8" t="s">
        <v>233</v>
      </c>
      <c r="B22" s="8" t="s">
        <v>30</v>
      </c>
      <c r="C22" s="8" t="s">
        <v>139</v>
      </c>
      <c r="D22" s="8" t="s">
        <v>140</v>
      </c>
      <c r="E22" s="11">
        <v>8.0</v>
      </c>
      <c r="F22" s="11">
        <v>4.0</v>
      </c>
      <c r="G22" s="11">
        <v>4.5</v>
      </c>
      <c r="H22" s="8" t="s">
        <v>234</v>
      </c>
      <c r="I22" s="8" t="s">
        <v>235</v>
      </c>
      <c r="J22" s="8" t="s">
        <v>236</v>
      </c>
      <c r="K22" s="15">
        <f t="shared" si="1"/>
        <v>8</v>
      </c>
      <c r="L22" s="1"/>
    </row>
    <row r="23" ht="63.75" customHeight="1">
      <c r="A23" s="13" t="s">
        <v>237</v>
      </c>
      <c r="B23" s="13" t="s">
        <v>30</v>
      </c>
      <c r="C23" s="13" t="s">
        <v>151</v>
      </c>
      <c r="D23" s="13" t="s">
        <v>153</v>
      </c>
      <c r="E23" s="16">
        <v>6.0</v>
      </c>
      <c r="F23" s="16">
        <v>4.0</v>
      </c>
      <c r="G23" s="16">
        <v>4.5</v>
      </c>
      <c r="H23" s="13" t="s">
        <v>238</v>
      </c>
      <c r="I23" s="13" t="s">
        <v>231</v>
      </c>
      <c r="J23" s="13" t="s">
        <v>239</v>
      </c>
      <c r="K23" s="15">
        <f t="shared" si="1"/>
        <v>6</v>
      </c>
      <c r="L23" s="1"/>
    </row>
    <row r="24" ht="63.75" customHeight="1">
      <c r="A24" s="8" t="s">
        <v>240</v>
      </c>
      <c r="B24" s="8" t="s">
        <v>30</v>
      </c>
      <c r="C24" s="8" t="s">
        <v>162</v>
      </c>
      <c r="D24" s="8" t="s">
        <v>163</v>
      </c>
      <c r="E24" s="11">
        <v>5.0</v>
      </c>
      <c r="F24" s="11">
        <v>4.0</v>
      </c>
      <c r="G24" s="11">
        <v>4.5</v>
      </c>
      <c r="H24" s="8" t="s">
        <v>241</v>
      </c>
      <c r="I24" s="8" t="s">
        <v>242</v>
      </c>
      <c r="J24" s="8" t="s">
        <v>243</v>
      </c>
      <c r="K24" s="15">
        <f t="shared" si="1"/>
        <v>5</v>
      </c>
      <c r="L24" s="1"/>
    </row>
    <row r="25" ht="63.75" customHeight="1">
      <c r="A25" s="13" t="s">
        <v>244</v>
      </c>
      <c r="B25" s="13" t="s">
        <v>30</v>
      </c>
      <c r="C25" s="13" t="s">
        <v>172</v>
      </c>
      <c r="D25" s="13" t="s">
        <v>173</v>
      </c>
      <c r="E25" s="16">
        <v>10.0</v>
      </c>
      <c r="F25" s="16">
        <v>4.0</v>
      </c>
      <c r="G25" s="16">
        <v>4.5</v>
      </c>
      <c r="H25" s="13" t="s">
        <v>245</v>
      </c>
      <c r="I25" s="13" t="s">
        <v>227</v>
      </c>
      <c r="J25" s="13" t="s">
        <v>224</v>
      </c>
      <c r="K25" s="15">
        <f t="shared" si="1"/>
        <v>10</v>
      </c>
      <c r="L25" s="1"/>
    </row>
    <row r="26" ht="63.75" customHeight="1">
      <c r="A26" s="8" t="s">
        <v>246</v>
      </c>
      <c r="B26" s="8" t="s">
        <v>30</v>
      </c>
      <c r="C26" s="8" t="s">
        <v>181</v>
      </c>
      <c r="D26" s="8" t="s">
        <v>182</v>
      </c>
      <c r="E26" s="11">
        <v>8.0</v>
      </c>
      <c r="F26" s="11">
        <v>4.0</v>
      </c>
      <c r="G26" s="11">
        <v>4.5</v>
      </c>
      <c r="H26" s="8" t="s">
        <v>247</v>
      </c>
      <c r="I26" s="8" t="s">
        <v>242</v>
      </c>
      <c r="J26" s="8" t="s">
        <v>248</v>
      </c>
      <c r="K26" s="15">
        <f t="shared" si="1"/>
        <v>8</v>
      </c>
      <c r="L26" s="1"/>
    </row>
    <row r="27" ht="63.75" customHeight="1">
      <c r="A27" s="13" t="s">
        <v>249</v>
      </c>
      <c r="B27" s="13" t="s">
        <v>30</v>
      </c>
      <c r="C27" s="13" t="s">
        <v>187</v>
      </c>
      <c r="D27" s="13" t="s">
        <v>188</v>
      </c>
      <c r="E27" s="16">
        <v>10.0</v>
      </c>
      <c r="F27" s="16">
        <v>3.0</v>
      </c>
      <c r="G27" s="16">
        <v>4.0</v>
      </c>
      <c r="H27" s="13" t="s">
        <v>250</v>
      </c>
      <c r="I27" s="13" t="s">
        <v>251</v>
      </c>
      <c r="J27" s="13" t="s">
        <v>252</v>
      </c>
      <c r="K27" s="15">
        <f t="shared" si="1"/>
        <v>10</v>
      </c>
      <c r="L27" s="1"/>
    </row>
    <row r="28" ht="63.75" customHeight="1">
      <c r="A28" s="8" t="s">
        <v>253</v>
      </c>
      <c r="B28" s="8" t="s">
        <v>30</v>
      </c>
      <c r="C28" s="8" t="s">
        <v>197</v>
      </c>
      <c r="D28" s="8" t="s">
        <v>198</v>
      </c>
      <c r="E28" s="11">
        <v>6.0</v>
      </c>
      <c r="F28" s="11"/>
      <c r="G28" s="11"/>
      <c r="H28" s="8" t="s">
        <v>255</v>
      </c>
      <c r="I28" s="8" t="s">
        <v>227</v>
      </c>
      <c r="J28" s="8" t="s">
        <v>256</v>
      </c>
      <c r="K28" s="8">
        <f t="shared" si="1"/>
        <v>0</v>
      </c>
      <c r="L28" s="1"/>
    </row>
    <row r="29" ht="63.75" customHeight="1">
      <c r="A29" s="13" t="s">
        <v>257</v>
      </c>
      <c r="B29" s="13" t="s">
        <v>30</v>
      </c>
      <c r="C29" s="13" t="s">
        <v>208</v>
      </c>
      <c r="D29" s="13" t="s">
        <v>209</v>
      </c>
      <c r="E29" s="16">
        <v>5.0</v>
      </c>
      <c r="F29" s="16">
        <v>3.0</v>
      </c>
      <c r="G29" s="16">
        <v>4.0</v>
      </c>
      <c r="H29" s="13" t="s">
        <v>258</v>
      </c>
      <c r="I29" s="13" t="s">
        <v>259</v>
      </c>
      <c r="J29" s="13" t="s">
        <v>260</v>
      </c>
      <c r="K29" s="15">
        <f t="shared" si="1"/>
        <v>5</v>
      </c>
      <c r="L29" s="1"/>
    </row>
    <row r="30" ht="63.75" customHeight="1">
      <c r="A30" s="8" t="s">
        <v>261</v>
      </c>
      <c r="B30" s="8" t="s">
        <v>60</v>
      </c>
      <c r="C30" s="8" t="s">
        <v>39</v>
      </c>
      <c r="D30" s="8" t="s">
        <v>41</v>
      </c>
      <c r="E30" s="11">
        <v>6.0</v>
      </c>
      <c r="F30" s="11">
        <v>4.5</v>
      </c>
      <c r="G30" s="11">
        <v>5.0</v>
      </c>
      <c r="H30" s="8" t="s">
        <v>262</v>
      </c>
      <c r="I30" s="8" t="s">
        <v>263</v>
      </c>
      <c r="J30" s="8" t="s">
        <v>264</v>
      </c>
      <c r="K30" s="15">
        <f t="shared" si="1"/>
        <v>6</v>
      </c>
      <c r="L30" s="1"/>
    </row>
    <row r="31" ht="63.75" customHeight="1">
      <c r="A31" s="13" t="s">
        <v>265</v>
      </c>
      <c r="B31" s="13" t="s">
        <v>60</v>
      </c>
      <c r="C31" s="13" t="s">
        <v>87</v>
      </c>
      <c r="D31" s="13" t="s">
        <v>89</v>
      </c>
      <c r="E31" s="16">
        <v>12.0</v>
      </c>
      <c r="F31" s="16">
        <v>4.5</v>
      </c>
      <c r="G31" s="16">
        <v>5.0</v>
      </c>
      <c r="H31" s="13" t="s">
        <v>266</v>
      </c>
      <c r="I31" s="13" t="s">
        <v>267</v>
      </c>
      <c r="J31" s="13" t="s">
        <v>268</v>
      </c>
      <c r="K31" s="15">
        <f t="shared" si="1"/>
        <v>12</v>
      </c>
      <c r="L31" s="1"/>
    </row>
    <row r="32" ht="63.75" customHeight="1">
      <c r="A32" s="8" t="s">
        <v>269</v>
      </c>
      <c r="B32" s="8" t="s">
        <v>60</v>
      </c>
      <c r="C32" s="8" t="s">
        <v>115</v>
      </c>
      <c r="D32" s="8" t="s">
        <v>116</v>
      </c>
      <c r="E32" s="11">
        <v>10.0</v>
      </c>
      <c r="F32" s="11">
        <v>4.5</v>
      </c>
      <c r="G32" s="11">
        <v>5.0</v>
      </c>
      <c r="H32" s="8" t="s">
        <v>270</v>
      </c>
      <c r="I32" s="8" t="s">
        <v>267</v>
      </c>
      <c r="J32" s="8" t="s">
        <v>271</v>
      </c>
      <c r="K32" s="15">
        <f t="shared" si="1"/>
        <v>10</v>
      </c>
      <c r="L32" s="1"/>
    </row>
    <row r="33" ht="63.75" customHeight="1">
      <c r="A33" s="13" t="s">
        <v>272</v>
      </c>
      <c r="B33" s="13" t="s">
        <v>60</v>
      </c>
      <c r="C33" s="13" t="s">
        <v>126</v>
      </c>
      <c r="D33" s="13" t="s">
        <v>128</v>
      </c>
      <c r="E33" s="16">
        <v>14.0</v>
      </c>
      <c r="F33" s="16">
        <v>4.5</v>
      </c>
      <c r="G33" s="16">
        <v>5.0</v>
      </c>
      <c r="H33" s="13" t="s">
        <v>273</v>
      </c>
      <c r="I33" s="13" t="s">
        <v>267</v>
      </c>
      <c r="J33" s="13" t="s">
        <v>274</v>
      </c>
      <c r="K33" s="15">
        <f t="shared" si="1"/>
        <v>14</v>
      </c>
      <c r="L33" s="1"/>
    </row>
    <row r="34" ht="63.75" customHeight="1">
      <c r="A34" s="8" t="s">
        <v>275</v>
      </c>
      <c r="B34" s="8" t="s">
        <v>60</v>
      </c>
      <c r="C34" s="8" t="s">
        <v>139</v>
      </c>
      <c r="D34" s="8" t="s">
        <v>140</v>
      </c>
      <c r="E34" s="11">
        <v>8.0</v>
      </c>
      <c r="F34" s="11">
        <v>4.5</v>
      </c>
      <c r="G34" s="11">
        <v>5.0</v>
      </c>
      <c r="H34" s="8" t="s">
        <v>276</v>
      </c>
      <c r="I34" s="8" t="s">
        <v>267</v>
      </c>
      <c r="J34" s="8" t="s">
        <v>277</v>
      </c>
      <c r="K34" s="15">
        <f t="shared" si="1"/>
        <v>8</v>
      </c>
      <c r="L34" s="1"/>
    </row>
    <row r="35" ht="63.75" customHeight="1">
      <c r="A35" s="13" t="s">
        <v>278</v>
      </c>
      <c r="B35" s="13" t="s">
        <v>60</v>
      </c>
      <c r="C35" s="13" t="s">
        <v>151</v>
      </c>
      <c r="D35" s="13" t="s">
        <v>153</v>
      </c>
      <c r="E35" s="16">
        <v>6.0</v>
      </c>
      <c r="F35" s="16">
        <v>3.5</v>
      </c>
      <c r="G35" s="16">
        <v>4.0</v>
      </c>
      <c r="H35" s="13" t="s">
        <v>279</v>
      </c>
      <c r="I35" s="13" t="s">
        <v>267</v>
      </c>
      <c r="J35" s="13" t="s">
        <v>280</v>
      </c>
      <c r="K35" s="15">
        <f t="shared" si="1"/>
        <v>6</v>
      </c>
      <c r="L35" s="1"/>
    </row>
    <row r="36" ht="63.75" customHeight="1">
      <c r="A36" s="8" t="s">
        <v>281</v>
      </c>
      <c r="B36" s="8" t="s">
        <v>60</v>
      </c>
      <c r="C36" s="8" t="s">
        <v>162</v>
      </c>
      <c r="D36" s="8" t="s">
        <v>163</v>
      </c>
      <c r="E36" s="11">
        <v>5.0</v>
      </c>
      <c r="F36" s="11">
        <v>4.5</v>
      </c>
      <c r="G36" s="11">
        <v>5.0</v>
      </c>
      <c r="H36" s="8" t="s">
        <v>282</v>
      </c>
      <c r="I36" s="8" t="s">
        <v>267</v>
      </c>
      <c r="J36" s="8" t="s">
        <v>283</v>
      </c>
      <c r="K36" s="15">
        <f t="shared" si="1"/>
        <v>5</v>
      </c>
      <c r="L36" s="1"/>
    </row>
    <row r="37" ht="63.75" customHeight="1">
      <c r="A37" s="13" t="s">
        <v>284</v>
      </c>
      <c r="B37" s="13" t="s">
        <v>60</v>
      </c>
      <c r="C37" s="13" t="s">
        <v>172</v>
      </c>
      <c r="D37" s="13" t="s">
        <v>173</v>
      </c>
      <c r="E37" s="16">
        <v>10.0</v>
      </c>
      <c r="F37" s="16">
        <v>4.5</v>
      </c>
      <c r="G37" s="16">
        <v>5.0</v>
      </c>
      <c r="H37" s="13" t="s">
        <v>285</v>
      </c>
      <c r="I37" s="13" t="s">
        <v>267</v>
      </c>
      <c r="J37" s="13" t="s">
        <v>286</v>
      </c>
      <c r="K37" s="15">
        <f t="shared" si="1"/>
        <v>10</v>
      </c>
      <c r="L37" s="1"/>
    </row>
    <row r="38" ht="63.75" customHeight="1">
      <c r="A38" s="8" t="s">
        <v>287</v>
      </c>
      <c r="B38" s="8" t="s">
        <v>60</v>
      </c>
      <c r="C38" s="8" t="s">
        <v>181</v>
      </c>
      <c r="D38" s="8" t="s">
        <v>182</v>
      </c>
      <c r="E38" s="11">
        <v>8.0</v>
      </c>
      <c r="F38" s="11">
        <v>4.0</v>
      </c>
      <c r="G38" s="11">
        <v>4.5</v>
      </c>
      <c r="H38" s="8" t="s">
        <v>288</v>
      </c>
      <c r="I38" s="8" t="s">
        <v>267</v>
      </c>
      <c r="J38" s="8" t="s">
        <v>289</v>
      </c>
      <c r="K38" s="15">
        <f t="shared" si="1"/>
        <v>8</v>
      </c>
      <c r="L38" s="1"/>
    </row>
    <row r="39" ht="63.75" customHeight="1">
      <c r="A39" s="13" t="s">
        <v>291</v>
      </c>
      <c r="B39" s="13" t="s">
        <v>60</v>
      </c>
      <c r="C39" s="13" t="s">
        <v>187</v>
      </c>
      <c r="D39" s="13" t="s">
        <v>188</v>
      </c>
      <c r="E39" s="16">
        <v>10.0</v>
      </c>
      <c r="F39" s="16">
        <v>4.0</v>
      </c>
      <c r="G39" s="16">
        <v>4.5</v>
      </c>
      <c r="H39" s="13" t="s">
        <v>292</v>
      </c>
      <c r="I39" s="13" t="s">
        <v>267</v>
      </c>
      <c r="J39" s="13" t="s">
        <v>293</v>
      </c>
      <c r="K39" s="15">
        <f t="shared" si="1"/>
        <v>10</v>
      </c>
      <c r="L39" s="1"/>
    </row>
    <row r="40" ht="63.75" customHeight="1">
      <c r="A40" s="8" t="s">
        <v>294</v>
      </c>
      <c r="B40" s="8" t="s">
        <v>60</v>
      </c>
      <c r="C40" s="8" t="s">
        <v>197</v>
      </c>
      <c r="D40" s="8" t="s">
        <v>198</v>
      </c>
      <c r="E40" s="11">
        <v>6.0</v>
      </c>
      <c r="F40" s="11"/>
      <c r="G40" s="11"/>
      <c r="H40" s="8" t="s">
        <v>295</v>
      </c>
      <c r="I40" s="8" t="s">
        <v>263</v>
      </c>
      <c r="J40" s="8" t="s">
        <v>296</v>
      </c>
      <c r="K40" s="8">
        <f t="shared" si="1"/>
        <v>0</v>
      </c>
      <c r="L40" s="1"/>
    </row>
    <row r="41" ht="63.75" customHeight="1">
      <c r="A41" s="13" t="s">
        <v>297</v>
      </c>
      <c r="B41" s="13" t="s">
        <v>60</v>
      </c>
      <c r="C41" s="13" t="s">
        <v>208</v>
      </c>
      <c r="D41" s="13" t="s">
        <v>209</v>
      </c>
      <c r="E41" s="16">
        <v>5.0</v>
      </c>
      <c r="F41" s="16">
        <v>4.0</v>
      </c>
      <c r="G41" s="16">
        <v>4.5</v>
      </c>
      <c r="H41" s="13" t="s">
        <v>298</v>
      </c>
      <c r="I41" s="13" t="s">
        <v>267</v>
      </c>
      <c r="J41" s="13" t="s">
        <v>299</v>
      </c>
      <c r="K41" s="15">
        <f t="shared" si="1"/>
        <v>5</v>
      </c>
      <c r="L41" s="1"/>
    </row>
    <row r="42" ht="63.75" customHeight="1">
      <c r="A42" s="8" t="s">
        <v>300</v>
      </c>
      <c r="B42" s="8" t="s">
        <v>65</v>
      </c>
      <c r="C42" s="8" t="s">
        <v>39</v>
      </c>
      <c r="D42" s="8" t="s">
        <v>41</v>
      </c>
      <c r="E42" s="11">
        <v>6.0</v>
      </c>
      <c r="F42" s="11">
        <v>4.0</v>
      </c>
      <c r="G42" s="11">
        <v>4.5</v>
      </c>
      <c r="H42" s="8" t="s">
        <v>301</v>
      </c>
      <c r="I42" s="8" t="s">
        <v>302</v>
      </c>
      <c r="J42" s="8" t="s">
        <v>303</v>
      </c>
      <c r="K42" s="15">
        <f t="shared" si="1"/>
        <v>6</v>
      </c>
      <c r="L42" s="1"/>
    </row>
    <row r="43" ht="63.75" customHeight="1">
      <c r="A43" s="13" t="s">
        <v>304</v>
      </c>
      <c r="B43" s="13" t="s">
        <v>65</v>
      </c>
      <c r="C43" s="13" t="s">
        <v>87</v>
      </c>
      <c r="D43" s="13" t="s">
        <v>89</v>
      </c>
      <c r="E43" s="16">
        <v>12.0</v>
      </c>
      <c r="F43" s="16">
        <v>4.0</v>
      </c>
      <c r="G43" s="16">
        <v>4.5</v>
      </c>
      <c r="H43" s="13" t="s">
        <v>305</v>
      </c>
      <c r="I43" s="13" t="s">
        <v>306</v>
      </c>
      <c r="J43" s="13" t="s">
        <v>307</v>
      </c>
      <c r="K43" s="15">
        <f t="shared" si="1"/>
        <v>12</v>
      </c>
      <c r="L43" s="1"/>
    </row>
    <row r="44" ht="63.75" customHeight="1">
      <c r="A44" s="8" t="s">
        <v>308</v>
      </c>
      <c r="B44" s="8" t="s">
        <v>65</v>
      </c>
      <c r="C44" s="8" t="s">
        <v>115</v>
      </c>
      <c r="D44" s="8" t="s">
        <v>116</v>
      </c>
      <c r="E44" s="11">
        <v>10.0</v>
      </c>
      <c r="F44" s="11">
        <v>3.5</v>
      </c>
      <c r="G44" s="11">
        <v>4.5</v>
      </c>
      <c r="H44" s="8" t="s">
        <v>309</v>
      </c>
      <c r="I44" s="8" t="s">
        <v>310</v>
      </c>
      <c r="J44" s="8" t="s">
        <v>311</v>
      </c>
      <c r="K44" s="15">
        <f t="shared" si="1"/>
        <v>10</v>
      </c>
      <c r="L44" s="1"/>
    </row>
    <row r="45" ht="63.75" customHeight="1">
      <c r="A45" s="13" t="s">
        <v>312</v>
      </c>
      <c r="B45" s="13" t="s">
        <v>65</v>
      </c>
      <c r="C45" s="13" t="s">
        <v>126</v>
      </c>
      <c r="D45" s="13" t="s">
        <v>128</v>
      </c>
      <c r="E45" s="16">
        <v>14.0</v>
      </c>
      <c r="F45" s="16">
        <v>4.0</v>
      </c>
      <c r="G45" s="16">
        <v>4.5</v>
      </c>
      <c r="H45" s="13" t="s">
        <v>313</v>
      </c>
      <c r="I45" s="13" t="s">
        <v>314</v>
      </c>
      <c r="J45" s="13" t="s">
        <v>315</v>
      </c>
      <c r="K45" s="15">
        <f t="shared" si="1"/>
        <v>14</v>
      </c>
      <c r="L45" s="1"/>
    </row>
    <row r="46" ht="63.75" customHeight="1">
      <c r="A46" s="8" t="s">
        <v>316</v>
      </c>
      <c r="B46" s="8" t="s">
        <v>65</v>
      </c>
      <c r="C46" s="8" t="s">
        <v>139</v>
      </c>
      <c r="D46" s="8" t="s">
        <v>140</v>
      </c>
      <c r="E46" s="11">
        <v>8.0</v>
      </c>
      <c r="F46" s="11"/>
      <c r="G46" s="11"/>
      <c r="H46" s="8" t="s">
        <v>317</v>
      </c>
      <c r="I46" s="8" t="s">
        <v>314</v>
      </c>
      <c r="J46" s="8" t="s">
        <v>318</v>
      </c>
      <c r="K46" s="8">
        <f t="shared" si="1"/>
        <v>0</v>
      </c>
      <c r="L46" s="1"/>
    </row>
    <row r="47" ht="63.75" customHeight="1">
      <c r="A47" s="13" t="s">
        <v>319</v>
      </c>
      <c r="B47" s="13" t="s">
        <v>65</v>
      </c>
      <c r="C47" s="13" t="s">
        <v>151</v>
      </c>
      <c r="D47" s="13" t="s">
        <v>153</v>
      </c>
      <c r="E47" s="16">
        <v>6.0</v>
      </c>
      <c r="F47" s="16">
        <v>4.0</v>
      </c>
      <c r="G47" s="16">
        <v>4.5</v>
      </c>
      <c r="H47" s="13" t="s">
        <v>320</v>
      </c>
      <c r="I47" s="13" t="s">
        <v>314</v>
      </c>
      <c r="J47" s="13" t="s">
        <v>321</v>
      </c>
      <c r="K47" s="15">
        <f t="shared" si="1"/>
        <v>6</v>
      </c>
      <c r="L47" s="1"/>
    </row>
    <row r="48" ht="63.75" customHeight="1">
      <c r="A48" s="8" t="s">
        <v>322</v>
      </c>
      <c r="B48" s="8" t="s">
        <v>65</v>
      </c>
      <c r="C48" s="8" t="s">
        <v>162</v>
      </c>
      <c r="D48" s="8" t="s">
        <v>163</v>
      </c>
      <c r="E48" s="11">
        <v>5.0</v>
      </c>
      <c r="F48" s="11">
        <v>4.0</v>
      </c>
      <c r="G48" s="11">
        <v>4.5</v>
      </c>
      <c r="H48" s="8" t="s">
        <v>324</v>
      </c>
      <c r="I48" s="8" t="s">
        <v>325</v>
      </c>
      <c r="J48" s="8" t="s">
        <v>326</v>
      </c>
      <c r="K48" s="15">
        <f t="shared" si="1"/>
        <v>5</v>
      </c>
      <c r="L48" s="1"/>
    </row>
    <row r="49" ht="63.75" customHeight="1">
      <c r="A49" s="13" t="s">
        <v>327</v>
      </c>
      <c r="B49" s="13" t="s">
        <v>65</v>
      </c>
      <c r="C49" s="13" t="s">
        <v>172</v>
      </c>
      <c r="D49" s="13" t="s">
        <v>173</v>
      </c>
      <c r="E49" s="16">
        <v>10.0</v>
      </c>
      <c r="F49" s="16">
        <v>3.5</v>
      </c>
      <c r="G49" s="16">
        <v>4.5</v>
      </c>
      <c r="H49" s="13" t="s">
        <v>328</v>
      </c>
      <c r="I49" s="13" t="s">
        <v>325</v>
      </c>
      <c r="J49" s="13" t="s">
        <v>329</v>
      </c>
      <c r="K49" s="15">
        <f t="shared" si="1"/>
        <v>10</v>
      </c>
      <c r="L49" s="1"/>
    </row>
    <row r="50" ht="63.75" customHeight="1">
      <c r="A50" s="8" t="s">
        <v>330</v>
      </c>
      <c r="B50" s="8" t="s">
        <v>65</v>
      </c>
      <c r="C50" s="8" t="s">
        <v>181</v>
      </c>
      <c r="D50" s="8" t="s">
        <v>182</v>
      </c>
      <c r="E50" s="11">
        <v>8.0</v>
      </c>
      <c r="F50" s="11"/>
      <c r="G50" s="11"/>
      <c r="H50" s="8" t="s">
        <v>331</v>
      </c>
      <c r="I50" s="8" t="s">
        <v>332</v>
      </c>
      <c r="J50" s="8" t="s">
        <v>333</v>
      </c>
      <c r="K50" s="8">
        <f t="shared" si="1"/>
        <v>0</v>
      </c>
      <c r="L50" s="1"/>
    </row>
    <row r="51" ht="63.75" customHeight="1">
      <c r="A51" s="13" t="s">
        <v>334</v>
      </c>
      <c r="B51" s="13" t="s">
        <v>65</v>
      </c>
      <c r="C51" s="13" t="s">
        <v>187</v>
      </c>
      <c r="D51" s="13" t="s">
        <v>188</v>
      </c>
      <c r="E51" s="16">
        <v>10.0</v>
      </c>
      <c r="F51" s="16">
        <v>3.0</v>
      </c>
      <c r="G51" s="16">
        <v>4.0</v>
      </c>
      <c r="H51" s="13" t="s">
        <v>335</v>
      </c>
      <c r="I51" s="13" t="s">
        <v>314</v>
      </c>
      <c r="J51" s="13" t="s">
        <v>336</v>
      </c>
      <c r="K51" s="15">
        <f t="shared" si="1"/>
        <v>10</v>
      </c>
      <c r="L51" s="1"/>
    </row>
    <row r="52" ht="63.75" customHeight="1">
      <c r="A52" s="8" t="s">
        <v>337</v>
      </c>
      <c r="B52" s="8" t="s">
        <v>65</v>
      </c>
      <c r="C52" s="8" t="s">
        <v>197</v>
      </c>
      <c r="D52" s="8" t="s">
        <v>198</v>
      </c>
      <c r="E52" s="11">
        <v>6.0</v>
      </c>
      <c r="F52" s="11"/>
      <c r="G52" s="11"/>
      <c r="H52" s="8" t="s">
        <v>338</v>
      </c>
      <c r="I52" s="8"/>
      <c r="J52" s="8" t="s">
        <v>339</v>
      </c>
      <c r="K52" s="8">
        <f t="shared" si="1"/>
        <v>0</v>
      </c>
      <c r="L52" s="1"/>
    </row>
    <row r="53" ht="63.75" customHeight="1">
      <c r="A53" s="13" t="s">
        <v>340</v>
      </c>
      <c r="B53" s="13" t="s">
        <v>65</v>
      </c>
      <c r="C53" s="13" t="s">
        <v>208</v>
      </c>
      <c r="D53" s="13" t="s">
        <v>209</v>
      </c>
      <c r="E53" s="16">
        <v>5.0</v>
      </c>
      <c r="F53" s="16"/>
      <c r="G53" s="16"/>
      <c r="H53" s="13" t="s">
        <v>341</v>
      </c>
      <c r="I53" s="13" t="s">
        <v>325</v>
      </c>
      <c r="J53" s="13" t="s">
        <v>342</v>
      </c>
      <c r="K53" s="8">
        <f t="shared" si="1"/>
        <v>0</v>
      </c>
      <c r="L53" s="1"/>
    </row>
    <row r="54" ht="63.75" customHeight="1">
      <c r="A54" s="8" t="s">
        <v>343</v>
      </c>
      <c r="B54" s="8" t="s">
        <v>70</v>
      </c>
      <c r="C54" s="8" t="s">
        <v>39</v>
      </c>
      <c r="D54" s="8" t="s">
        <v>41</v>
      </c>
      <c r="E54" s="11">
        <v>6.0</v>
      </c>
      <c r="F54" s="11">
        <v>4.0</v>
      </c>
      <c r="G54" s="11">
        <v>4.5</v>
      </c>
      <c r="H54" s="8" t="s">
        <v>344</v>
      </c>
      <c r="I54" s="8" t="s">
        <v>345</v>
      </c>
      <c r="J54" s="8" t="s">
        <v>346</v>
      </c>
      <c r="K54" s="15">
        <f t="shared" si="1"/>
        <v>6</v>
      </c>
      <c r="L54" s="1"/>
    </row>
    <row r="55" ht="63.75" customHeight="1">
      <c r="A55" s="13" t="s">
        <v>347</v>
      </c>
      <c r="B55" s="13" t="s">
        <v>70</v>
      </c>
      <c r="C55" s="13" t="s">
        <v>87</v>
      </c>
      <c r="D55" s="13" t="s">
        <v>89</v>
      </c>
      <c r="E55" s="16">
        <v>12.0</v>
      </c>
      <c r="F55" s="16">
        <v>4.0</v>
      </c>
      <c r="G55" s="16">
        <v>4.5</v>
      </c>
      <c r="H55" s="13" t="s">
        <v>348</v>
      </c>
      <c r="I55" s="13" t="s">
        <v>349</v>
      </c>
      <c r="J55" s="13" t="s">
        <v>350</v>
      </c>
      <c r="K55" s="15">
        <f t="shared" si="1"/>
        <v>12</v>
      </c>
      <c r="L55" s="1"/>
    </row>
    <row r="56" ht="63.75" customHeight="1">
      <c r="A56" s="8" t="s">
        <v>351</v>
      </c>
      <c r="B56" s="8" t="s">
        <v>70</v>
      </c>
      <c r="C56" s="8" t="s">
        <v>115</v>
      </c>
      <c r="D56" s="8" t="s">
        <v>116</v>
      </c>
      <c r="E56" s="11">
        <v>10.0</v>
      </c>
      <c r="F56" s="11">
        <v>4.0</v>
      </c>
      <c r="G56" s="11">
        <v>4.5</v>
      </c>
      <c r="H56" s="8" t="s">
        <v>353</v>
      </c>
      <c r="I56" s="8" t="s">
        <v>354</v>
      </c>
      <c r="J56" s="8" t="s">
        <v>355</v>
      </c>
      <c r="K56" s="15">
        <f t="shared" si="1"/>
        <v>10</v>
      </c>
      <c r="L56" s="1"/>
    </row>
    <row r="57" ht="63.75" customHeight="1">
      <c r="A57" s="13" t="s">
        <v>356</v>
      </c>
      <c r="B57" s="13" t="s">
        <v>70</v>
      </c>
      <c r="C57" s="13" t="s">
        <v>126</v>
      </c>
      <c r="D57" s="13" t="s">
        <v>128</v>
      </c>
      <c r="E57" s="16">
        <v>14.0</v>
      </c>
      <c r="F57" s="16">
        <v>4.0</v>
      </c>
      <c r="G57" s="16">
        <v>4.5</v>
      </c>
      <c r="H57" s="13" t="s">
        <v>357</v>
      </c>
      <c r="I57" s="13" t="s">
        <v>358</v>
      </c>
      <c r="J57" s="13" t="s">
        <v>359</v>
      </c>
      <c r="K57" s="15">
        <f t="shared" si="1"/>
        <v>14</v>
      </c>
      <c r="L57" s="1"/>
    </row>
    <row r="58" ht="63.75" customHeight="1">
      <c r="A58" s="8" t="s">
        <v>360</v>
      </c>
      <c r="B58" s="8" t="s">
        <v>70</v>
      </c>
      <c r="C58" s="8" t="s">
        <v>139</v>
      </c>
      <c r="D58" s="8" t="s">
        <v>140</v>
      </c>
      <c r="E58" s="11">
        <v>8.0</v>
      </c>
      <c r="F58" s="11">
        <v>4.0</v>
      </c>
      <c r="G58" s="11">
        <v>4.5</v>
      </c>
      <c r="H58" s="8" t="s">
        <v>361</v>
      </c>
      <c r="I58" s="8" t="s">
        <v>362</v>
      </c>
      <c r="J58" s="8" t="s">
        <v>363</v>
      </c>
      <c r="K58" s="15">
        <f t="shared" si="1"/>
        <v>8</v>
      </c>
      <c r="L58" s="1"/>
    </row>
    <row r="59" ht="63.75" customHeight="1">
      <c r="A59" s="13" t="s">
        <v>364</v>
      </c>
      <c r="B59" s="13" t="s">
        <v>70</v>
      </c>
      <c r="C59" s="13" t="s">
        <v>151</v>
      </c>
      <c r="D59" s="13" t="s">
        <v>153</v>
      </c>
      <c r="E59" s="16">
        <v>6.0</v>
      </c>
      <c r="F59" s="16"/>
      <c r="G59" s="16"/>
      <c r="H59" s="13" t="s">
        <v>365</v>
      </c>
      <c r="I59" s="13"/>
      <c r="J59" s="13" t="s">
        <v>366</v>
      </c>
      <c r="K59" s="8">
        <f t="shared" si="1"/>
        <v>0</v>
      </c>
      <c r="L59" s="1"/>
    </row>
    <row r="60" ht="63.75" customHeight="1">
      <c r="A60" s="8" t="s">
        <v>367</v>
      </c>
      <c r="B60" s="8" t="s">
        <v>70</v>
      </c>
      <c r="C60" s="8" t="s">
        <v>162</v>
      </c>
      <c r="D60" s="8" t="s">
        <v>163</v>
      </c>
      <c r="E60" s="11">
        <v>5.0</v>
      </c>
      <c r="F60" s="11"/>
      <c r="G60" s="11"/>
      <c r="H60" s="8" t="s">
        <v>368</v>
      </c>
      <c r="I60" s="8" t="s">
        <v>369</v>
      </c>
      <c r="J60" s="8" t="s">
        <v>370</v>
      </c>
      <c r="K60" s="8">
        <f t="shared" si="1"/>
        <v>0</v>
      </c>
      <c r="L60" s="1"/>
    </row>
    <row r="61" ht="63.75" customHeight="1">
      <c r="A61" s="13" t="s">
        <v>371</v>
      </c>
      <c r="B61" s="13" t="s">
        <v>70</v>
      </c>
      <c r="C61" s="13" t="s">
        <v>172</v>
      </c>
      <c r="D61" s="13" t="s">
        <v>173</v>
      </c>
      <c r="E61" s="16">
        <v>10.0</v>
      </c>
      <c r="F61" s="16">
        <v>4.0</v>
      </c>
      <c r="G61" s="16">
        <v>4.5</v>
      </c>
      <c r="H61" s="13" t="s">
        <v>372</v>
      </c>
      <c r="I61" s="13" t="s">
        <v>369</v>
      </c>
      <c r="J61" s="13" t="s">
        <v>373</v>
      </c>
      <c r="K61" s="15">
        <f t="shared" si="1"/>
        <v>10</v>
      </c>
      <c r="L61" s="1"/>
    </row>
    <row r="62" ht="63.75" customHeight="1">
      <c r="A62" s="8" t="s">
        <v>374</v>
      </c>
      <c r="B62" s="8" t="s">
        <v>70</v>
      </c>
      <c r="C62" s="8" t="s">
        <v>181</v>
      </c>
      <c r="D62" s="8" t="s">
        <v>182</v>
      </c>
      <c r="E62" s="11">
        <v>8.0</v>
      </c>
      <c r="F62" s="11">
        <v>4.0</v>
      </c>
      <c r="G62" s="11">
        <v>4.5</v>
      </c>
      <c r="H62" s="8" t="s">
        <v>375</v>
      </c>
      <c r="I62" s="8" t="s">
        <v>376</v>
      </c>
      <c r="J62" s="8" t="s">
        <v>377</v>
      </c>
      <c r="K62" s="15">
        <f t="shared" si="1"/>
        <v>8</v>
      </c>
      <c r="L62" s="1"/>
    </row>
    <row r="63" ht="63.75" customHeight="1">
      <c r="A63" s="13" t="s">
        <v>378</v>
      </c>
      <c r="B63" s="13" t="s">
        <v>70</v>
      </c>
      <c r="C63" s="13" t="s">
        <v>187</v>
      </c>
      <c r="D63" s="13" t="s">
        <v>188</v>
      </c>
      <c r="E63" s="16">
        <v>10.0</v>
      </c>
      <c r="F63" s="16">
        <v>4.0</v>
      </c>
      <c r="G63" s="16">
        <v>4.5</v>
      </c>
      <c r="H63" s="13" t="s">
        <v>379</v>
      </c>
      <c r="I63" s="13" t="s">
        <v>354</v>
      </c>
      <c r="J63" s="13" t="s">
        <v>380</v>
      </c>
      <c r="K63" s="15">
        <f t="shared" si="1"/>
        <v>10</v>
      </c>
      <c r="L63" s="1"/>
    </row>
    <row r="64" ht="63.75" customHeight="1">
      <c r="A64" s="8" t="s">
        <v>381</v>
      </c>
      <c r="B64" s="8" t="s">
        <v>70</v>
      </c>
      <c r="C64" s="8" t="s">
        <v>197</v>
      </c>
      <c r="D64" s="8" t="s">
        <v>198</v>
      </c>
      <c r="E64" s="11">
        <v>6.0</v>
      </c>
      <c r="F64" s="11">
        <v>4.0</v>
      </c>
      <c r="G64" s="11">
        <v>4.5</v>
      </c>
      <c r="H64" s="8" t="s">
        <v>382</v>
      </c>
      <c r="I64" s="8" t="s">
        <v>383</v>
      </c>
      <c r="J64" s="8" t="s">
        <v>384</v>
      </c>
      <c r="K64" s="15">
        <f t="shared" si="1"/>
        <v>6</v>
      </c>
      <c r="L64" s="1"/>
    </row>
    <row r="65" ht="63.75" customHeight="1">
      <c r="A65" s="13" t="s">
        <v>385</v>
      </c>
      <c r="B65" s="13" t="s">
        <v>70</v>
      </c>
      <c r="C65" s="13" t="s">
        <v>208</v>
      </c>
      <c r="D65" s="13" t="s">
        <v>209</v>
      </c>
      <c r="E65" s="16">
        <v>5.0</v>
      </c>
      <c r="F65" s="16"/>
      <c r="G65" s="16"/>
      <c r="H65" s="13" t="s">
        <v>386</v>
      </c>
      <c r="I65" s="13" t="s">
        <v>369</v>
      </c>
      <c r="J65" s="13" t="s">
        <v>387</v>
      </c>
      <c r="K65" s="8">
        <f t="shared" si="1"/>
        <v>0</v>
      </c>
      <c r="L65" s="1"/>
    </row>
    <row r="66" ht="63.75" customHeight="1">
      <c r="A66" s="8" t="s">
        <v>389</v>
      </c>
      <c r="B66" s="8" t="s">
        <v>76</v>
      </c>
      <c r="C66" s="8" t="s">
        <v>39</v>
      </c>
      <c r="D66" s="8" t="s">
        <v>41</v>
      </c>
      <c r="E66" s="11">
        <v>6.0</v>
      </c>
      <c r="F66" s="11"/>
      <c r="G66" s="11"/>
      <c r="H66" s="8" t="s">
        <v>390</v>
      </c>
      <c r="I66" s="8" t="s">
        <v>391</v>
      </c>
      <c r="J66" s="8" t="s">
        <v>392</v>
      </c>
      <c r="K66" s="8">
        <f t="shared" si="1"/>
        <v>0</v>
      </c>
      <c r="L66" s="1"/>
    </row>
    <row r="67" ht="63.75" customHeight="1">
      <c r="A67" s="13" t="s">
        <v>393</v>
      </c>
      <c r="B67" s="13" t="s">
        <v>76</v>
      </c>
      <c r="C67" s="13" t="s">
        <v>87</v>
      </c>
      <c r="D67" s="13" t="s">
        <v>89</v>
      </c>
      <c r="E67" s="16">
        <v>12.0</v>
      </c>
      <c r="F67" s="16"/>
      <c r="G67" s="16"/>
      <c r="H67" s="13" t="s">
        <v>390</v>
      </c>
      <c r="I67" s="13" t="s">
        <v>391</v>
      </c>
      <c r="J67" s="13" t="s">
        <v>392</v>
      </c>
      <c r="K67" s="8">
        <f t="shared" si="1"/>
        <v>0</v>
      </c>
      <c r="L67" s="1"/>
    </row>
    <row r="68" ht="63.75" customHeight="1">
      <c r="A68" s="8" t="s">
        <v>394</v>
      </c>
      <c r="B68" s="8" t="s">
        <v>76</v>
      </c>
      <c r="C68" s="8" t="s">
        <v>115</v>
      </c>
      <c r="D68" s="8" t="s">
        <v>116</v>
      </c>
      <c r="E68" s="11">
        <v>10.0</v>
      </c>
      <c r="F68" s="11"/>
      <c r="G68" s="11"/>
      <c r="H68" s="8" t="s">
        <v>390</v>
      </c>
      <c r="I68" s="8" t="s">
        <v>391</v>
      </c>
      <c r="J68" s="8" t="s">
        <v>392</v>
      </c>
      <c r="K68" s="8">
        <f t="shared" si="1"/>
        <v>0</v>
      </c>
      <c r="L68" s="1"/>
    </row>
    <row r="69" ht="63.75" customHeight="1">
      <c r="A69" s="13" t="s">
        <v>395</v>
      </c>
      <c r="B69" s="13" t="s">
        <v>76</v>
      </c>
      <c r="C69" s="13" t="s">
        <v>126</v>
      </c>
      <c r="D69" s="13" t="s">
        <v>128</v>
      </c>
      <c r="E69" s="16">
        <v>14.0</v>
      </c>
      <c r="F69" s="16"/>
      <c r="G69" s="16"/>
      <c r="H69" s="13" t="s">
        <v>390</v>
      </c>
      <c r="I69" s="13" t="s">
        <v>391</v>
      </c>
      <c r="J69" s="13" t="s">
        <v>392</v>
      </c>
      <c r="K69" s="8">
        <f t="shared" si="1"/>
        <v>0</v>
      </c>
      <c r="L69" s="1"/>
    </row>
    <row r="70" ht="63.75" customHeight="1">
      <c r="A70" s="8" t="s">
        <v>396</v>
      </c>
      <c r="B70" s="8" t="s">
        <v>76</v>
      </c>
      <c r="C70" s="8" t="s">
        <v>139</v>
      </c>
      <c r="D70" s="8" t="s">
        <v>140</v>
      </c>
      <c r="E70" s="11">
        <v>8.0</v>
      </c>
      <c r="F70" s="11"/>
      <c r="G70" s="11"/>
      <c r="H70" s="8" t="s">
        <v>390</v>
      </c>
      <c r="I70" s="8" t="s">
        <v>391</v>
      </c>
      <c r="J70" s="8" t="s">
        <v>392</v>
      </c>
      <c r="K70" s="8">
        <f t="shared" si="1"/>
        <v>0</v>
      </c>
      <c r="L70" s="1"/>
    </row>
    <row r="71" ht="63.75" customHeight="1">
      <c r="A71" s="13" t="s">
        <v>397</v>
      </c>
      <c r="B71" s="13" t="s">
        <v>76</v>
      </c>
      <c r="C71" s="13" t="s">
        <v>151</v>
      </c>
      <c r="D71" s="13" t="s">
        <v>153</v>
      </c>
      <c r="E71" s="16">
        <v>6.0</v>
      </c>
      <c r="F71" s="16"/>
      <c r="G71" s="16"/>
      <c r="H71" s="13" t="s">
        <v>390</v>
      </c>
      <c r="I71" s="13" t="s">
        <v>391</v>
      </c>
      <c r="J71" s="13" t="s">
        <v>392</v>
      </c>
      <c r="K71" s="8">
        <f t="shared" si="1"/>
        <v>0</v>
      </c>
      <c r="L71" s="1"/>
    </row>
    <row r="72" ht="63.75" customHeight="1">
      <c r="A72" s="8" t="s">
        <v>398</v>
      </c>
      <c r="B72" s="8" t="s">
        <v>76</v>
      </c>
      <c r="C72" s="8" t="s">
        <v>162</v>
      </c>
      <c r="D72" s="8" t="s">
        <v>163</v>
      </c>
      <c r="E72" s="11">
        <v>5.0</v>
      </c>
      <c r="F72" s="11"/>
      <c r="G72" s="11"/>
      <c r="H72" s="8" t="s">
        <v>390</v>
      </c>
      <c r="I72" s="8" t="s">
        <v>391</v>
      </c>
      <c r="J72" s="8" t="s">
        <v>392</v>
      </c>
      <c r="K72" s="8">
        <f t="shared" si="1"/>
        <v>0</v>
      </c>
      <c r="L72" s="1"/>
    </row>
    <row r="73" ht="63.75" customHeight="1">
      <c r="A73" s="13" t="s">
        <v>399</v>
      </c>
      <c r="B73" s="13" t="s">
        <v>76</v>
      </c>
      <c r="C73" s="13" t="s">
        <v>172</v>
      </c>
      <c r="D73" s="13" t="s">
        <v>173</v>
      </c>
      <c r="E73" s="16">
        <v>10.0</v>
      </c>
      <c r="F73" s="16"/>
      <c r="G73" s="16"/>
      <c r="H73" s="13" t="s">
        <v>390</v>
      </c>
      <c r="I73" s="13" t="s">
        <v>391</v>
      </c>
      <c r="J73" s="13" t="s">
        <v>392</v>
      </c>
      <c r="K73" s="8">
        <f t="shared" si="1"/>
        <v>0</v>
      </c>
      <c r="L73" s="1"/>
    </row>
    <row r="74" ht="63.75" customHeight="1">
      <c r="A74" s="8" t="s">
        <v>400</v>
      </c>
      <c r="B74" s="8" t="s">
        <v>76</v>
      </c>
      <c r="C74" s="8" t="s">
        <v>181</v>
      </c>
      <c r="D74" s="8" t="s">
        <v>182</v>
      </c>
      <c r="E74" s="11">
        <v>8.0</v>
      </c>
      <c r="F74" s="11"/>
      <c r="G74" s="11"/>
      <c r="H74" s="8" t="s">
        <v>390</v>
      </c>
      <c r="I74" s="8" t="s">
        <v>391</v>
      </c>
      <c r="J74" s="8" t="s">
        <v>392</v>
      </c>
      <c r="K74" s="8">
        <f t="shared" si="1"/>
        <v>0</v>
      </c>
      <c r="L74" s="1"/>
    </row>
    <row r="75" ht="63.75" customHeight="1">
      <c r="A75" s="13" t="s">
        <v>401</v>
      </c>
      <c r="B75" s="13" t="s">
        <v>76</v>
      </c>
      <c r="C75" s="13" t="s">
        <v>187</v>
      </c>
      <c r="D75" s="13" t="s">
        <v>188</v>
      </c>
      <c r="E75" s="16">
        <v>10.0</v>
      </c>
      <c r="F75" s="16"/>
      <c r="G75" s="16"/>
      <c r="H75" s="13" t="s">
        <v>390</v>
      </c>
      <c r="I75" s="13" t="s">
        <v>391</v>
      </c>
      <c r="J75" s="13" t="s">
        <v>392</v>
      </c>
      <c r="K75" s="8">
        <f t="shared" si="1"/>
        <v>0</v>
      </c>
      <c r="L75" s="1"/>
    </row>
    <row r="76" ht="63.75" customHeight="1">
      <c r="A76" s="8" t="s">
        <v>402</v>
      </c>
      <c r="B76" s="8" t="s">
        <v>76</v>
      </c>
      <c r="C76" s="8" t="s">
        <v>197</v>
      </c>
      <c r="D76" s="8" t="s">
        <v>198</v>
      </c>
      <c r="E76" s="11">
        <v>6.0</v>
      </c>
      <c r="F76" s="11"/>
      <c r="G76" s="11"/>
      <c r="H76" s="8" t="s">
        <v>390</v>
      </c>
      <c r="I76" s="8" t="s">
        <v>391</v>
      </c>
      <c r="J76" s="8" t="s">
        <v>392</v>
      </c>
      <c r="K76" s="8">
        <f t="shared" si="1"/>
        <v>0</v>
      </c>
      <c r="L76" s="1"/>
    </row>
    <row r="77" ht="63.75" customHeight="1">
      <c r="A77" s="13" t="s">
        <v>403</v>
      </c>
      <c r="B77" s="13" t="s">
        <v>76</v>
      </c>
      <c r="C77" s="13" t="s">
        <v>208</v>
      </c>
      <c r="D77" s="13" t="s">
        <v>209</v>
      </c>
      <c r="E77" s="16">
        <v>5.0</v>
      </c>
      <c r="F77" s="16"/>
      <c r="G77" s="16"/>
      <c r="H77" s="13" t="s">
        <v>390</v>
      </c>
      <c r="I77" s="13" t="s">
        <v>391</v>
      </c>
      <c r="J77" s="13" t="s">
        <v>392</v>
      </c>
      <c r="K77" s="8">
        <f t="shared" si="1"/>
        <v>0</v>
      </c>
      <c r="L77" s="1"/>
    </row>
    <row r="78" ht="28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28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37.5" customHeight="1">
      <c r="A80" s="4" t="s">
        <v>19</v>
      </c>
      <c r="B80" s="5" t="s">
        <v>404</v>
      </c>
      <c r="C80" s="23"/>
      <c r="D80" s="5" t="s">
        <v>405</v>
      </c>
      <c r="E80" s="23"/>
      <c r="F80" s="23"/>
      <c r="G80" s="23"/>
      <c r="H80" s="5" t="s">
        <v>43</v>
      </c>
      <c r="I80" s="5" t="s">
        <v>406</v>
      </c>
      <c r="J80" s="5" t="s">
        <v>407</v>
      </c>
      <c r="K80" s="6" t="s">
        <v>408</v>
      </c>
      <c r="L80" s="1"/>
    </row>
    <row r="81" ht="117.75" customHeight="1">
      <c r="A81" s="8" t="s">
        <v>157</v>
      </c>
      <c r="B81" s="8" t="s">
        <v>409</v>
      </c>
      <c r="C81" s="8"/>
      <c r="D81" s="10"/>
      <c r="E81" s="8"/>
      <c r="F81" s="8"/>
      <c r="G81" s="8"/>
      <c r="H81" s="8" t="s">
        <v>410</v>
      </c>
      <c r="I81" s="8" t="s">
        <v>411</v>
      </c>
      <c r="J81" s="8" t="s">
        <v>412</v>
      </c>
      <c r="K81" s="8" t="s">
        <v>413</v>
      </c>
      <c r="L81" s="1"/>
    </row>
    <row r="82" ht="117.75" customHeight="1">
      <c r="A82" s="8" t="s">
        <v>144</v>
      </c>
      <c r="B82" s="8" t="s">
        <v>414</v>
      </c>
      <c r="C82" s="8"/>
      <c r="D82" s="10"/>
      <c r="E82" s="8"/>
      <c r="F82" s="8"/>
      <c r="G82" s="8"/>
      <c r="H82" s="8" t="s">
        <v>415</v>
      </c>
      <c r="I82" s="8" t="s">
        <v>411</v>
      </c>
      <c r="J82" s="8" t="s">
        <v>416</v>
      </c>
      <c r="K82" s="8" t="s">
        <v>413</v>
      </c>
      <c r="L82" s="1"/>
    </row>
    <row r="83" ht="117.75" customHeight="1">
      <c r="A83" s="8" t="s">
        <v>417</v>
      </c>
      <c r="B83" s="8" t="s">
        <v>418</v>
      </c>
      <c r="C83" s="8"/>
      <c r="D83" s="10"/>
      <c r="E83" s="8"/>
      <c r="F83" s="8"/>
      <c r="G83" s="8"/>
      <c r="H83" s="8" t="s">
        <v>419</v>
      </c>
      <c r="I83" s="8" t="s">
        <v>411</v>
      </c>
      <c r="J83" s="8" t="s">
        <v>420</v>
      </c>
      <c r="K83" s="8" t="s">
        <v>421</v>
      </c>
      <c r="L83" s="1"/>
    </row>
    <row r="84" ht="117.75" customHeight="1">
      <c r="A84" s="8" t="s">
        <v>422</v>
      </c>
      <c r="B84" s="8" t="s">
        <v>423</v>
      </c>
      <c r="C84" s="8"/>
      <c r="D84" s="10"/>
      <c r="E84" s="8"/>
      <c r="F84" s="8"/>
      <c r="G84" s="8"/>
      <c r="H84" s="8" t="s">
        <v>424</v>
      </c>
      <c r="I84" s="8" t="s">
        <v>411</v>
      </c>
      <c r="J84" s="8" t="s">
        <v>425</v>
      </c>
      <c r="K84" s="8" t="s">
        <v>421</v>
      </c>
      <c r="L84" s="1"/>
    </row>
    <row r="85" ht="117.75" customHeight="1">
      <c r="A85" s="8" t="s">
        <v>119</v>
      </c>
      <c r="B85" s="8" t="s">
        <v>426</v>
      </c>
      <c r="C85" s="8"/>
      <c r="D85" s="10"/>
      <c r="E85" s="8"/>
      <c r="F85" s="8"/>
      <c r="G85" s="8"/>
      <c r="H85" s="8" t="s">
        <v>427</v>
      </c>
      <c r="I85" s="8" t="s">
        <v>411</v>
      </c>
      <c r="J85" s="8" t="s">
        <v>428</v>
      </c>
      <c r="K85" s="8" t="s">
        <v>413</v>
      </c>
      <c r="L85" s="1"/>
    </row>
    <row r="86" ht="117.75" customHeight="1">
      <c r="A86" s="8" t="s">
        <v>429</v>
      </c>
      <c r="B86" s="8" t="s">
        <v>430</v>
      </c>
      <c r="C86" s="8"/>
      <c r="D86" s="10"/>
      <c r="E86" s="8"/>
      <c r="F86" s="8"/>
      <c r="G86" s="8"/>
      <c r="H86" s="8" t="s">
        <v>431</v>
      </c>
      <c r="I86" s="8" t="s">
        <v>411</v>
      </c>
      <c r="J86" s="8" t="s">
        <v>432</v>
      </c>
      <c r="K86" s="8" t="s">
        <v>413</v>
      </c>
      <c r="L86" s="1"/>
    </row>
    <row r="87" ht="117.75" customHeight="1">
      <c r="A87" s="8" t="s">
        <v>433</v>
      </c>
      <c r="B87" s="8" t="s">
        <v>434</v>
      </c>
      <c r="C87" s="8"/>
      <c r="D87" s="10"/>
      <c r="E87" s="8"/>
      <c r="F87" s="8"/>
      <c r="G87" s="8"/>
      <c r="H87" s="8" t="s">
        <v>436</v>
      </c>
      <c r="I87" s="8" t="s">
        <v>411</v>
      </c>
      <c r="J87" s="8" t="s">
        <v>437</v>
      </c>
      <c r="K87" s="8" t="s">
        <v>413</v>
      </c>
      <c r="L87" s="1"/>
    </row>
    <row r="88" ht="117.75" customHeight="1">
      <c r="A88" s="8" t="s">
        <v>231</v>
      </c>
      <c r="B88" s="8" t="s">
        <v>438</v>
      </c>
      <c r="C88" s="8"/>
      <c r="D88" s="10"/>
      <c r="E88" s="8"/>
      <c r="F88" s="8"/>
      <c r="G88" s="8"/>
      <c r="H88" s="8" t="s">
        <v>436</v>
      </c>
      <c r="I88" s="8" t="s">
        <v>411</v>
      </c>
      <c r="J88" s="8" t="s">
        <v>439</v>
      </c>
      <c r="K88" s="8" t="s">
        <v>413</v>
      </c>
      <c r="L88" s="1"/>
    </row>
    <row r="89" ht="117.75" customHeight="1">
      <c r="A89" s="8" t="s">
        <v>440</v>
      </c>
      <c r="B89" s="8" t="s">
        <v>441</v>
      </c>
      <c r="C89" s="8"/>
      <c r="D89" s="10"/>
      <c r="E89" s="8"/>
      <c r="F89" s="8"/>
      <c r="G89" s="8"/>
      <c r="H89" s="8" t="s">
        <v>436</v>
      </c>
      <c r="I89" s="8" t="s">
        <v>442</v>
      </c>
      <c r="J89" s="8" t="s">
        <v>443</v>
      </c>
      <c r="K89" s="8" t="s">
        <v>413</v>
      </c>
      <c r="L89" s="1"/>
    </row>
    <row r="90" ht="117.75" customHeight="1">
      <c r="A90" s="8" t="s">
        <v>444</v>
      </c>
      <c r="B90" s="8" t="s">
        <v>445</v>
      </c>
      <c r="C90" s="8"/>
      <c r="D90" s="10"/>
      <c r="E90" s="8"/>
      <c r="F90" s="8"/>
      <c r="G90" s="8"/>
      <c r="H90" s="8" t="s">
        <v>436</v>
      </c>
      <c r="I90" s="8" t="s">
        <v>411</v>
      </c>
      <c r="J90" s="8" t="s">
        <v>446</v>
      </c>
      <c r="K90" s="8" t="s">
        <v>413</v>
      </c>
      <c r="L90" s="1"/>
    </row>
    <row r="91" ht="117.75" customHeight="1">
      <c r="A91" s="8" t="s">
        <v>242</v>
      </c>
      <c r="B91" s="8" t="s">
        <v>447</v>
      </c>
      <c r="C91" s="8"/>
      <c r="D91" s="10"/>
      <c r="E91" s="8"/>
      <c r="F91" s="8"/>
      <c r="G91" s="8"/>
      <c r="H91" s="8" t="s">
        <v>448</v>
      </c>
      <c r="I91" s="8" t="s">
        <v>411</v>
      </c>
      <c r="J91" s="8" t="s">
        <v>449</v>
      </c>
      <c r="K91" s="8" t="s">
        <v>413</v>
      </c>
      <c r="L91" s="1"/>
    </row>
    <row r="92" ht="117.75" customHeight="1">
      <c r="A92" s="8" t="s">
        <v>450</v>
      </c>
      <c r="B92" s="8" t="s">
        <v>451</v>
      </c>
      <c r="C92" s="8"/>
      <c r="D92" s="10"/>
      <c r="E92" s="8"/>
      <c r="F92" s="8"/>
      <c r="G92" s="8"/>
      <c r="H92" s="8" t="s">
        <v>452</v>
      </c>
      <c r="I92" s="8" t="s">
        <v>411</v>
      </c>
      <c r="J92" s="8" t="s">
        <v>453</v>
      </c>
      <c r="K92" s="8" t="s">
        <v>413</v>
      </c>
      <c r="L92" s="1"/>
    </row>
    <row r="93" ht="117.75" customHeight="1">
      <c r="A93" s="8" t="s">
        <v>454</v>
      </c>
      <c r="B93" s="8" t="s">
        <v>455</v>
      </c>
      <c r="C93" s="8"/>
      <c r="D93" s="10"/>
      <c r="E93" s="8"/>
      <c r="F93" s="8"/>
      <c r="G93" s="8"/>
      <c r="H93" s="8" t="s">
        <v>456</v>
      </c>
      <c r="I93" s="8" t="s">
        <v>411</v>
      </c>
      <c r="J93" s="8" t="s">
        <v>457</v>
      </c>
      <c r="K93" s="8" t="s">
        <v>421</v>
      </c>
      <c r="L93" s="1"/>
    </row>
    <row r="94" ht="117.75" customHeight="1">
      <c r="A94" s="8" t="s">
        <v>267</v>
      </c>
      <c r="B94" s="8" t="s">
        <v>458</v>
      </c>
      <c r="C94" s="8"/>
      <c r="D94" s="10"/>
      <c r="E94" s="8"/>
      <c r="F94" s="8"/>
      <c r="G94" s="8"/>
      <c r="H94" s="8" t="s">
        <v>459</v>
      </c>
      <c r="I94" s="8" t="s">
        <v>411</v>
      </c>
      <c r="J94" s="8" t="s">
        <v>460</v>
      </c>
      <c r="K94" s="8" t="s">
        <v>413</v>
      </c>
      <c r="L94" s="1"/>
    </row>
    <row r="95" ht="117.75" customHeight="1">
      <c r="A95" s="8" t="s">
        <v>461</v>
      </c>
      <c r="B95" s="8" t="s">
        <v>462</v>
      </c>
      <c r="C95" s="8"/>
      <c r="D95" s="10"/>
      <c r="E95" s="8"/>
      <c r="F95" s="8"/>
      <c r="G95" s="8"/>
      <c r="H95" s="8" t="s">
        <v>463</v>
      </c>
      <c r="I95" s="8" t="s">
        <v>411</v>
      </c>
      <c r="J95" s="8" t="s">
        <v>464</v>
      </c>
      <c r="K95" s="8" t="s">
        <v>465</v>
      </c>
      <c r="L95" s="1"/>
    </row>
    <row r="96" ht="117.75" customHeight="1">
      <c r="A96" s="8" t="s">
        <v>466</v>
      </c>
      <c r="B96" s="8" t="s">
        <v>467</v>
      </c>
      <c r="C96" s="8"/>
      <c r="D96" s="10"/>
      <c r="E96" s="8"/>
      <c r="F96" s="8"/>
      <c r="G96" s="8"/>
      <c r="H96" s="8" t="s">
        <v>468</v>
      </c>
      <c r="I96" s="8" t="s">
        <v>411</v>
      </c>
      <c r="J96" s="8" t="s">
        <v>469</v>
      </c>
      <c r="K96" s="8" t="s">
        <v>421</v>
      </c>
      <c r="L96" s="1"/>
    </row>
    <row r="97" ht="117.75" customHeight="1">
      <c r="A97" s="8" t="s">
        <v>314</v>
      </c>
      <c r="B97" s="8" t="s">
        <v>470</v>
      </c>
      <c r="C97" s="8"/>
      <c r="D97" s="10"/>
      <c r="E97" s="8"/>
      <c r="F97" s="8"/>
      <c r="G97" s="8"/>
      <c r="H97" s="8" t="s">
        <v>471</v>
      </c>
      <c r="I97" s="8" t="s">
        <v>472</v>
      </c>
      <c r="J97" s="8" t="s">
        <v>473</v>
      </c>
      <c r="K97" s="8" t="s">
        <v>474</v>
      </c>
      <c r="L97" s="1"/>
    </row>
    <row r="98" ht="117.75" customHeight="1">
      <c r="A98" s="8" t="s">
        <v>475</v>
      </c>
      <c r="B98" s="8" t="s">
        <v>476</v>
      </c>
      <c r="C98" s="8"/>
      <c r="D98" s="10"/>
      <c r="E98" s="8"/>
      <c r="F98" s="8"/>
      <c r="G98" s="8"/>
      <c r="H98" s="8" t="s">
        <v>471</v>
      </c>
      <c r="I98" s="8" t="s">
        <v>411</v>
      </c>
      <c r="J98" s="8" t="s">
        <v>477</v>
      </c>
      <c r="K98" s="8" t="s">
        <v>474</v>
      </c>
      <c r="L98" s="1"/>
    </row>
    <row r="99" ht="117.75" customHeight="1">
      <c r="A99" s="8" t="s">
        <v>478</v>
      </c>
      <c r="B99" s="8" t="s">
        <v>479</v>
      </c>
      <c r="C99" s="8"/>
      <c r="D99" s="10"/>
      <c r="E99" s="8"/>
      <c r="F99" s="8"/>
      <c r="G99" s="8"/>
      <c r="H99" s="8" t="s">
        <v>471</v>
      </c>
      <c r="I99" s="8" t="s">
        <v>411</v>
      </c>
      <c r="J99" s="8" t="s">
        <v>480</v>
      </c>
      <c r="K99" s="8" t="s">
        <v>474</v>
      </c>
      <c r="L99" s="1"/>
    </row>
    <row r="100" ht="117.75" customHeight="1">
      <c r="A100" s="8" t="s">
        <v>354</v>
      </c>
      <c r="B100" s="8" t="s">
        <v>481</v>
      </c>
      <c r="C100" s="8"/>
      <c r="D100" s="10"/>
      <c r="E100" s="8"/>
      <c r="F100" s="8"/>
      <c r="G100" s="8"/>
      <c r="H100" s="8" t="s">
        <v>482</v>
      </c>
      <c r="I100" s="8" t="s">
        <v>411</v>
      </c>
      <c r="J100" s="8" t="s">
        <v>483</v>
      </c>
      <c r="K100" s="8" t="s">
        <v>474</v>
      </c>
      <c r="L100" s="1"/>
    </row>
    <row r="101" ht="117.75" customHeight="1">
      <c r="A101" s="8" t="s">
        <v>484</v>
      </c>
      <c r="B101" s="8" t="s">
        <v>485</v>
      </c>
      <c r="C101" s="8"/>
      <c r="D101" s="10"/>
      <c r="E101" s="8"/>
      <c r="F101" s="8"/>
      <c r="G101" s="8"/>
      <c r="H101" s="8" t="s">
        <v>482</v>
      </c>
      <c r="I101" s="8" t="s">
        <v>486</v>
      </c>
      <c r="J101" s="8" t="s">
        <v>487</v>
      </c>
      <c r="K101" s="8" t="s">
        <v>474</v>
      </c>
      <c r="L101" s="1"/>
    </row>
    <row r="102" ht="117.75" customHeight="1">
      <c r="A102" s="8" t="s">
        <v>369</v>
      </c>
      <c r="B102" s="8" t="s">
        <v>488</v>
      </c>
      <c r="C102" s="8"/>
      <c r="D102" s="10"/>
      <c r="E102" s="8"/>
      <c r="F102" s="8"/>
      <c r="G102" s="8"/>
      <c r="H102" s="8" t="s">
        <v>482</v>
      </c>
      <c r="I102" s="8" t="s">
        <v>411</v>
      </c>
      <c r="J102" s="8" t="s">
        <v>489</v>
      </c>
      <c r="K102" s="8" t="s">
        <v>474</v>
      </c>
      <c r="L102" s="1"/>
    </row>
    <row r="103" ht="117.75" customHeight="1">
      <c r="A103" s="8" t="s">
        <v>490</v>
      </c>
      <c r="B103" s="8" t="s">
        <v>491</v>
      </c>
      <c r="C103" s="8"/>
      <c r="D103" s="10"/>
      <c r="E103" s="8"/>
      <c r="F103" s="8"/>
      <c r="G103" s="8"/>
      <c r="H103" s="8" t="s">
        <v>492</v>
      </c>
      <c r="I103" s="8" t="s">
        <v>493</v>
      </c>
      <c r="J103" s="8" t="s">
        <v>494</v>
      </c>
      <c r="K103" s="8" t="s">
        <v>495</v>
      </c>
      <c r="L103" s="1"/>
    </row>
    <row r="104" ht="117.75" customHeight="1">
      <c r="A104" s="8" t="s">
        <v>496</v>
      </c>
      <c r="B104" s="8" t="s">
        <v>497</v>
      </c>
      <c r="C104" s="8"/>
      <c r="D104" s="10"/>
      <c r="E104" s="8"/>
      <c r="F104" s="8"/>
      <c r="G104" s="8"/>
      <c r="H104" s="8" t="s">
        <v>498</v>
      </c>
      <c r="I104" s="8" t="s">
        <v>411</v>
      </c>
      <c r="J104" s="8" t="s">
        <v>499</v>
      </c>
      <c r="K104" s="8" t="s">
        <v>421</v>
      </c>
      <c r="L104" s="1"/>
    </row>
    <row r="105" ht="117.75" customHeight="1">
      <c r="A105" s="8" t="s">
        <v>500</v>
      </c>
      <c r="B105" s="8" t="s">
        <v>501</v>
      </c>
      <c r="C105" s="8"/>
      <c r="D105" s="10"/>
      <c r="E105" s="8"/>
      <c r="F105" s="8"/>
      <c r="G105" s="8"/>
      <c r="H105" s="8" t="s">
        <v>502</v>
      </c>
      <c r="I105" s="8" t="s">
        <v>411</v>
      </c>
      <c r="J105" s="8" t="s">
        <v>503</v>
      </c>
      <c r="K105" s="8" t="s">
        <v>413</v>
      </c>
      <c r="L105" s="1"/>
    </row>
    <row r="106" ht="117.75" customHeight="1">
      <c r="A106" s="8" t="s">
        <v>504</v>
      </c>
      <c r="B106" s="8" t="s">
        <v>505</v>
      </c>
      <c r="C106" s="8"/>
      <c r="D106" s="10"/>
      <c r="E106" s="8"/>
      <c r="F106" s="8"/>
      <c r="G106" s="8"/>
      <c r="H106" s="8" t="s">
        <v>506</v>
      </c>
      <c r="I106" s="8" t="s">
        <v>507</v>
      </c>
      <c r="J106" s="8" t="s">
        <v>508</v>
      </c>
      <c r="K106" s="8" t="s">
        <v>509</v>
      </c>
      <c r="L106" s="1"/>
    </row>
    <row r="107" ht="28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28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28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28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26.25"/>
    <col customWidth="1" min="2" max="2" width="35.0"/>
    <col customWidth="1" min="3" max="3" width="48.75"/>
    <col customWidth="1" min="4" max="4" width="13.75"/>
    <col customWidth="1" min="5" max="5" width="43.75"/>
    <col customWidth="1" min="6" max="6" width="35.0"/>
    <col customWidth="1" min="7" max="7" width="22.5"/>
    <col customWidth="1" min="8" max="26" width="8.63"/>
  </cols>
  <sheetData>
    <row r="1" ht="28.5" customHeight="1">
      <c r="A1" s="1"/>
      <c r="B1" s="1"/>
      <c r="C1" s="1"/>
      <c r="D1" s="1"/>
      <c r="E1" s="1"/>
      <c r="F1" s="1"/>
      <c r="G1" s="1"/>
    </row>
    <row r="2" ht="36.75" customHeight="1">
      <c r="A2" s="2" t="s">
        <v>1</v>
      </c>
      <c r="B2" s="1"/>
      <c r="C2" s="1"/>
      <c r="D2" s="1"/>
      <c r="E2" s="1"/>
      <c r="F2" s="1"/>
      <c r="G2" s="1"/>
    </row>
    <row r="3" ht="7.5" customHeight="1">
      <c r="A3" s="3"/>
      <c r="B3" s="3"/>
      <c r="C3" s="3"/>
      <c r="D3" s="3"/>
      <c r="E3" s="3"/>
      <c r="F3" s="3"/>
      <c r="G3" s="3"/>
    </row>
    <row r="4" ht="28.5" customHeight="1">
      <c r="A4" s="1" t="s">
        <v>5</v>
      </c>
      <c r="B4" s="1"/>
      <c r="C4" s="1"/>
      <c r="D4" s="1"/>
      <c r="E4" s="1"/>
      <c r="F4" s="1"/>
      <c r="G4" s="1"/>
    </row>
    <row r="5" ht="28.5" customHeight="1">
      <c r="A5" s="1"/>
      <c r="B5" s="1"/>
      <c r="C5" s="1"/>
      <c r="D5" s="1"/>
      <c r="E5" s="1"/>
      <c r="F5" s="1"/>
      <c r="G5" s="1"/>
    </row>
    <row r="6" ht="37.5" customHeight="1">
      <c r="A6" s="4" t="s">
        <v>8</v>
      </c>
      <c r="B6" s="5" t="s">
        <v>12</v>
      </c>
      <c r="C6" s="5" t="s">
        <v>15</v>
      </c>
      <c r="D6" s="5" t="s">
        <v>17</v>
      </c>
      <c r="E6" s="5" t="s">
        <v>20</v>
      </c>
      <c r="F6" s="5" t="s">
        <v>22</v>
      </c>
      <c r="G6" s="6" t="s">
        <v>19</v>
      </c>
    </row>
    <row r="7" ht="94.5" customHeight="1">
      <c r="A7" s="8" t="s">
        <v>24</v>
      </c>
      <c r="B7" s="8" t="s">
        <v>35</v>
      </c>
      <c r="C7" s="8" t="s">
        <v>37</v>
      </c>
      <c r="D7" s="10"/>
      <c r="E7" s="8" t="s">
        <v>47</v>
      </c>
      <c r="F7" s="8" t="s">
        <v>48</v>
      </c>
      <c r="G7" s="8" t="s">
        <v>51</v>
      </c>
    </row>
    <row r="8" ht="94.5" customHeight="1">
      <c r="A8" s="13" t="s">
        <v>30</v>
      </c>
      <c r="B8" s="13" t="s">
        <v>55</v>
      </c>
      <c r="C8" s="13" t="s">
        <v>56</v>
      </c>
      <c r="D8" s="14"/>
      <c r="E8" s="13" t="s">
        <v>57</v>
      </c>
      <c r="F8" s="13" t="s">
        <v>58</v>
      </c>
      <c r="G8" s="13" t="s">
        <v>59</v>
      </c>
    </row>
    <row r="9" ht="94.5" customHeight="1">
      <c r="A9" s="8" t="s">
        <v>60</v>
      </c>
      <c r="B9" s="8" t="s">
        <v>55</v>
      </c>
      <c r="C9" s="8" t="s">
        <v>61</v>
      </c>
      <c r="D9" s="10"/>
      <c r="E9" s="8" t="s">
        <v>62</v>
      </c>
      <c r="F9" s="8" t="s">
        <v>63</v>
      </c>
      <c r="G9" s="8" t="s">
        <v>64</v>
      </c>
    </row>
    <row r="10" ht="94.5" customHeight="1">
      <c r="A10" s="13" t="s">
        <v>65</v>
      </c>
      <c r="B10" s="13" t="s">
        <v>55</v>
      </c>
      <c r="C10" s="13" t="s">
        <v>66</v>
      </c>
      <c r="D10" s="14"/>
      <c r="E10" s="13" t="s">
        <v>67</v>
      </c>
      <c r="F10" s="13" t="s">
        <v>68</v>
      </c>
      <c r="G10" s="13" t="s">
        <v>69</v>
      </c>
    </row>
    <row r="11" ht="94.5" customHeight="1">
      <c r="A11" s="8" t="s">
        <v>70</v>
      </c>
      <c r="B11" s="8" t="s">
        <v>71</v>
      </c>
      <c r="C11" s="8" t="s">
        <v>72</v>
      </c>
      <c r="D11" s="10"/>
      <c r="E11" s="8" t="s">
        <v>73</v>
      </c>
      <c r="F11" s="8" t="s">
        <v>74</v>
      </c>
      <c r="G11" s="8" t="s">
        <v>75</v>
      </c>
    </row>
    <row r="12" ht="94.5" customHeight="1">
      <c r="A12" s="13" t="s">
        <v>76</v>
      </c>
      <c r="B12" s="13" t="s">
        <v>77</v>
      </c>
      <c r="C12" s="13" t="s">
        <v>78</v>
      </c>
      <c r="D12" s="14"/>
      <c r="E12" s="13" t="s">
        <v>79</v>
      </c>
      <c r="F12" s="13" t="s">
        <v>80</v>
      </c>
      <c r="G12" s="13" t="s">
        <v>81</v>
      </c>
    </row>
    <row r="13" ht="28.5" customHeight="1">
      <c r="A13" s="1"/>
      <c r="B13" s="1"/>
      <c r="C13" s="1"/>
      <c r="D13" s="1"/>
      <c r="E13" s="1"/>
      <c r="F13" s="1"/>
      <c r="G13" s="1"/>
    </row>
    <row r="14" ht="28.5" customHeight="1">
      <c r="A14" s="1"/>
      <c r="B14" s="1"/>
      <c r="C14" s="1"/>
      <c r="D14" s="1"/>
      <c r="E14" s="1"/>
      <c r="F14" s="1"/>
      <c r="G14" s="1"/>
    </row>
    <row r="15" ht="37.5" customHeight="1">
      <c r="A15" s="4" t="s">
        <v>82</v>
      </c>
      <c r="B15" s="5" t="s">
        <v>83</v>
      </c>
      <c r="C15" s="6" t="s">
        <v>84</v>
      </c>
      <c r="D15" s="1"/>
      <c r="E15" s="1"/>
      <c r="F15" s="1"/>
      <c r="G15" s="1"/>
    </row>
    <row r="16" ht="45.75" customHeight="1">
      <c r="A16" s="8">
        <v>0.0</v>
      </c>
      <c r="B16" s="8" t="s">
        <v>86</v>
      </c>
      <c r="C16" s="8" t="s">
        <v>88</v>
      </c>
      <c r="D16" s="1"/>
      <c r="E16" s="1"/>
      <c r="F16" s="1"/>
      <c r="G16" s="1"/>
    </row>
    <row r="17" ht="45.75" customHeight="1">
      <c r="A17" s="8">
        <v>1.0</v>
      </c>
      <c r="B17" s="8" t="s">
        <v>91</v>
      </c>
      <c r="C17" s="8" t="s">
        <v>92</v>
      </c>
      <c r="D17" s="1"/>
      <c r="E17" s="1"/>
      <c r="F17" s="1"/>
      <c r="G17" s="1"/>
    </row>
    <row r="18" ht="45.75" customHeight="1">
      <c r="A18" s="8">
        <v>2.0</v>
      </c>
      <c r="B18" s="8" t="s">
        <v>93</v>
      </c>
      <c r="C18" s="8" t="s">
        <v>94</v>
      </c>
      <c r="D18" s="1"/>
      <c r="E18" s="1"/>
      <c r="F18" s="1"/>
      <c r="G18" s="1"/>
    </row>
    <row r="19" ht="45.75" customHeight="1">
      <c r="A19" s="8">
        <v>3.0</v>
      </c>
      <c r="B19" s="8" t="s">
        <v>98</v>
      </c>
      <c r="C19" s="8" t="s">
        <v>99</v>
      </c>
      <c r="D19" s="1"/>
      <c r="E19" s="1"/>
      <c r="F19" s="1"/>
      <c r="G19" s="1"/>
    </row>
    <row r="20" ht="45.75" customHeight="1">
      <c r="A20" s="8">
        <v>4.0</v>
      </c>
      <c r="B20" s="8" t="s">
        <v>104</v>
      </c>
      <c r="C20" s="8" t="s">
        <v>105</v>
      </c>
      <c r="D20" s="1"/>
      <c r="E20" s="1"/>
      <c r="F20" s="1"/>
      <c r="G20" s="1"/>
    </row>
    <row r="21" ht="45.75" customHeight="1">
      <c r="A21" s="8">
        <v>5.0</v>
      </c>
      <c r="B21" s="8" t="s">
        <v>109</v>
      </c>
      <c r="C21" s="8" t="s">
        <v>111</v>
      </c>
      <c r="D21" s="1"/>
      <c r="E21" s="1"/>
      <c r="F21" s="1"/>
      <c r="G21" s="1"/>
    </row>
    <row r="22" ht="28.5" customHeight="1">
      <c r="A22" s="1"/>
      <c r="B22" s="1"/>
      <c r="C22" s="1"/>
      <c r="D22" s="1"/>
      <c r="E22" s="1"/>
      <c r="F22" s="1"/>
      <c r="G22" s="1"/>
    </row>
    <row r="23" ht="28.5" customHeight="1">
      <c r="A23" s="1"/>
      <c r="B23" s="1"/>
      <c r="C23" s="1"/>
      <c r="D23" s="1"/>
      <c r="E23" s="1"/>
      <c r="F23" s="1"/>
      <c r="G23" s="1"/>
    </row>
    <row r="24" ht="37.5" customHeight="1">
      <c r="A24" s="4" t="s">
        <v>118</v>
      </c>
      <c r="B24" s="5" t="s">
        <v>120</v>
      </c>
      <c r="C24" s="6" t="s">
        <v>122</v>
      </c>
      <c r="D24" s="1"/>
      <c r="E24" s="1"/>
      <c r="F24" s="1"/>
      <c r="G24" s="1"/>
    </row>
    <row r="25" ht="79.5" customHeight="1">
      <c r="A25" s="8" t="s">
        <v>124</v>
      </c>
      <c r="B25" s="8" t="s">
        <v>125</v>
      </c>
      <c r="C25" s="8" t="s">
        <v>127</v>
      </c>
      <c r="D25" s="1"/>
      <c r="E25" s="1"/>
      <c r="F25" s="1"/>
      <c r="G25" s="1"/>
    </row>
    <row r="26" ht="79.5" customHeight="1">
      <c r="A26" s="8" t="s">
        <v>130</v>
      </c>
      <c r="B26" s="8" t="s">
        <v>132</v>
      </c>
      <c r="C26" s="8" t="s">
        <v>134</v>
      </c>
      <c r="D26" s="1"/>
      <c r="E26" s="1"/>
      <c r="F26" s="1"/>
      <c r="G26" s="1"/>
    </row>
    <row r="27" ht="79.5" customHeight="1">
      <c r="A27" s="8" t="s">
        <v>135</v>
      </c>
      <c r="B27" s="8" t="s">
        <v>137</v>
      </c>
      <c r="C27" s="8" t="s">
        <v>138</v>
      </c>
      <c r="D27" s="1"/>
      <c r="E27" s="1"/>
      <c r="F27" s="1"/>
      <c r="G27" s="1"/>
    </row>
    <row r="28" ht="79.5" customHeight="1">
      <c r="A28" s="8" t="s">
        <v>141</v>
      </c>
      <c r="B28" s="8" t="s">
        <v>143</v>
      </c>
      <c r="C28" s="8" t="s">
        <v>145</v>
      </c>
      <c r="D28" s="1"/>
      <c r="E28" s="1"/>
      <c r="F28" s="1"/>
      <c r="G28" s="1"/>
    </row>
    <row r="29" ht="79.5" customHeight="1">
      <c r="A29" s="8" t="s">
        <v>147</v>
      </c>
      <c r="B29" s="8" t="s">
        <v>148</v>
      </c>
      <c r="C29" s="8" t="s">
        <v>149</v>
      </c>
      <c r="D29" s="1"/>
      <c r="E29" s="1"/>
      <c r="F29" s="1"/>
      <c r="G29" s="1"/>
    </row>
    <row r="30" ht="79.5" customHeight="1">
      <c r="A30" s="8" t="s">
        <v>152</v>
      </c>
      <c r="B30" s="8" t="s">
        <v>154</v>
      </c>
      <c r="C30" s="8" t="s">
        <v>155</v>
      </c>
      <c r="D30" s="1"/>
      <c r="E30" s="1"/>
      <c r="F30" s="1"/>
      <c r="G30" s="1"/>
    </row>
    <row r="31" ht="79.5" customHeight="1">
      <c r="A31" s="8" t="s">
        <v>158</v>
      </c>
      <c r="B31" s="8" t="s">
        <v>159</v>
      </c>
      <c r="C31" s="8" t="s">
        <v>160</v>
      </c>
      <c r="D31" s="1"/>
      <c r="E31" s="1"/>
      <c r="F31" s="1"/>
      <c r="G31" s="1"/>
    </row>
    <row r="32" ht="79.5" customHeight="1">
      <c r="A32" s="8" t="s">
        <v>164</v>
      </c>
      <c r="B32" s="8" t="s">
        <v>165</v>
      </c>
      <c r="C32" s="8" t="s">
        <v>167</v>
      </c>
      <c r="D32" s="1"/>
      <c r="E32" s="1"/>
      <c r="F32" s="1"/>
      <c r="G32" s="1"/>
    </row>
    <row r="33" ht="79.5" customHeight="1">
      <c r="A33" s="8" t="s">
        <v>168</v>
      </c>
      <c r="B33" s="8" t="s">
        <v>170</v>
      </c>
      <c r="C33" s="8" t="s">
        <v>171</v>
      </c>
      <c r="D33" s="1"/>
      <c r="E33" s="1"/>
      <c r="F33" s="1"/>
      <c r="G33" s="1"/>
    </row>
    <row r="34" ht="79.5" customHeight="1">
      <c r="A34" s="8" t="s">
        <v>174</v>
      </c>
      <c r="B34" s="8" t="s">
        <v>176</v>
      </c>
      <c r="C34" s="8" t="s">
        <v>178</v>
      </c>
      <c r="D34" s="1"/>
      <c r="E34" s="1"/>
      <c r="F34" s="1"/>
      <c r="G34" s="1"/>
    </row>
    <row r="35" ht="28.5" customHeight="1">
      <c r="A35" s="1"/>
      <c r="B35" s="1"/>
      <c r="C35" s="1"/>
      <c r="D35" s="1"/>
      <c r="E35" s="1"/>
      <c r="F35" s="1"/>
      <c r="G35" s="1"/>
    </row>
    <row r="36" ht="28.5" customHeight="1">
      <c r="A36" s="1"/>
      <c r="B36" s="1"/>
      <c r="C36" s="1"/>
      <c r="D36" s="1"/>
      <c r="E36" s="1"/>
      <c r="F36" s="1"/>
      <c r="G36" s="1"/>
    </row>
    <row r="37" ht="37.5" customHeight="1">
      <c r="A37" s="4" t="s">
        <v>183</v>
      </c>
      <c r="B37" s="5" t="s">
        <v>184</v>
      </c>
      <c r="C37" s="6" t="s">
        <v>186</v>
      </c>
      <c r="D37" s="1"/>
      <c r="E37" s="1"/>
      <c r="F37" s="1"/>
      <c r="G37" s="1"/>
    </row>
    <row r="38" ht="81.75" customHeight="1">
      <c r="A38" s="8" t="s">
        <v>189</v>
      </c>
      <c r="B38" s="8" t="s">
        <v>191</v>
      </c>
      <c r="C38" s="8" t="s">
        <v>192</v>
      </c>
      <c r="D38" s="1"/>
      <c r="E38" s="1"/>
      <c r="F38" s="1"/>
      <c r="G38" s="1"/>
    </row>
    <row r="39" ht="81.75" customHeight="1">
      <c r="A39" s="8" t="s">
        <v>193</v>
      </c>
      <c r="B39" s="8" t="s">
        <v>194</v>
      </c>
      <c r="C39" s="8" t="s">
        <v>196</v>
      </c>
      <c r="D39" s="1"/>
      <c r="E39" s="1"/>
      <c r="F39" s="1"/>
      <c r="G39" s="1"/>
    </row>
    <row r="40" ht="81.75" customHeight="1">
      <c r="A40" s="8" t="s">
        <v>199</v>
      </c>
      <c r="B40" s="8" t="s">
        <v>202</v>
      </c>
      <c r="C40" s="8" t="s">
        <v>203</v>
      </c>
      <c r="D40" s="1"/>
      <c r="E40" s="1"/>
      <c r="F40" s="1"/>
      <c r="G40" s="1"/>
    </row>
    <row r="41" ht="81.75" customHeight="1">
      <c r="A41" s="8" t="s">
        <v>204</v>
      </c>
      <c r="B41" s="8" t="s">
        <v>206</v>
      </c>
      <c r="C41" s="8" t="s">
        <v>207</v>
      </c>
      <c r="D41" s="1"/>
      <c r="E41" s="1"/>
      <c r="F41" s="1"/>
      <c r="G41" s="1"/>
    </row>
    <row r="42" ht="81.75" customHeight="1">
      <c r="A42" s="8" t="s">
        <v>211</v>
      </c>
      <c r="B42" s="8" t="s">
        <v>212</v>
      </c>
      <c r="C42" s="8" t="s">
        <v>213</v>
      </c>
      <c r="D42" s="1"/>
      <c r="E42" s="1"/>
      <c r="F42" s="1"/>
      <c r="G42" s="1"/>
    </row>
    <row r="43" ht="81.75" customHeight="1">
      <c r="A43" s="8" t="s">
        <v>215</v>
      </c>
      <c r="B43" s="8" t="s">
        <v>216</v>
      </c>
      <c r="C43" s="8" t="s">
        <v>217</v>
      </c>
      <c r="D43" s="1"/>
      <c r="E43" s="1"/>
      <c r="F43" s="1"/>
      <c r="G43" s="1"/>
    </row>
    <row r="44" ht="28.5" customHeight="1">
      <c r="A44" s="1"/>
      <c r="B44" s="1"/>
      <c r="C44" s="1"/>
      <c r="D44" s="1"/>
      <c r="E44" s="1"/>
      <c r="F44" s="1"/>
      <c r="G44" s="1"/>
    </row>
    <row r="45" ht="28.5" customHeight="1">
      <c r="A45" s="1"/>
      <c r="B45" s="1"/>
      <c r="C45" s="1"/>
      <c r="D45" s="1"/>
      <c r="E45" s="1"/>
      <c r="F45" s="1"/>
      <c r="G45" s="1"/>
    </row>
    <row r="46" ht="28.5" customHeight="1">
      <c r="A46" s="1"/>
      <c r="B46" s="1"/>
      <c r="C46" s="1"/>
      <c r="D46" s="1"/>
      <c r="E46" s="1"/>
      <c r="F46" s="1"/>
      <c r="G46" s="1"/>
    </row>
    <row r="47" ht="28.5" customHeight="1">
      <c r="A47" s="1"/>
      <c r="B47" s="1"/>
      <c r="C47" s="1"/>
      <c r="D47" s="1"/>
      <c r="E47" s="1"/>
      <c r="F47" s="1"/>
      <c r="G47" s="1"/>
    </row>
    <row r="48" ht="28.5" customHeight="1">
      <c r="A48" s="1"/>
      <c r="B48" s="1"/>
      <c r="C48" s="1"/>
      <c r="D48" s="1"/>
      <c r="E48" s="1"/>
      <c r="F48" s="1"/>
      <c r="G48" s="1"/>
    </row>
    <row r="49" ht="28.5" customHeight="1">
      <c r="A49" s="1"/>
      <c r="B49" s="1"/>
      <c r="C49" s="1"/>
      <c r="D49" s="1"/>
      <c r="E49" s="1"/>
      <c r="F49" s="1"/>
      <c r="G49" s="1"/>
    </row>
    <row r="50" ht="28.5" customHeight="1">
      <c r="A50" s="1"/>
      <c r="B50" s="1"/>
      <c r="C50" s="1"/>
      <c r="D50" s="1"/>
      <c r="E50" s="1"/>
      <c r="F50" s="1"/>
      <c r="G50" s="1"/>
    </row>
    <row r="51" ht="28.5" customHeight="1">
      <c r="A51" s="1"/>
      <c r="B51" s="1"/>
      <c r="C51" s="1"/>
      <c r="D51" s="1"/>
      <c r="E51" s="1"/>
      <c r="F51" s="1"/>
      <c r="G51" s="1"/>
    </row>
    <row r="52" ht="28.5" customHeight="1">
      <c r="A52" s="1"/>
      <c r="B52" s="1"/>
      <c r="C52" s="1"/>
      <c r="D52" s="1"/>
      <c r="E52" s="1"/>
      <c r="F52" s="1"/>
      <c r="G52" s="1"/>
    </row>
    <row r="53" ht="28.5" customHeight="1">
      <c r="A53" s="1"/>
      <c r="B53" s="1"/>
      <c r="C53" s="1"/>
      <c r="D53" s="1"/>
      <c r="E53" s="1"/>
      <c r="F53" s="1"/>
      <c r="G53" s="1"/>
    </row>
    <row r="54" ht="28.5" customHeight="1">
      <c r="A54" s="1"/>
      <c r="B54" s="1"/>
      <c r="C54" s="1"/>
      <c r="D54" s="1"/>
      <c r="E54" s="1"/>
      <c r="F54" s="1"/>
      <c r="G54" s="1"/>
    </row>
    <row r="55" ht="28.5" customHeight="1">
      <c r="A55" s="1"/>
      <c r="B55" s="1"/>
      <c r="C55" s="1"/>
      <c r="D55" s="1"/>
      <c r="E55" s="1"/>
      <c r="F55" s="1"/>
      <c r="G55" s="1"/>
    </row>
    <row r="56" ht="28.5" customHeight="1">
      <c r="A56" s="1"/>
      <c r="B56" s="1"/>
      <c r="C56" s="1"/>
      <c r="D56" s="1"/>
      <c r="E56" s="1"/>
      <c r="F56" s="1"/>
      <c r="G56" s="1"/>
    </row>
    <row r="57" ht="28.5" customHeight="1">
      <c r="A57" s="1"/>
      <c r="B57" s="1"/>
      <c r="C57" s="1"/>
      <c r="D57" s="1"/>
      <c r="E57" s="1"/>
      <c r="F57" s="1"/>
      <c r="G57" s="1"/>
    </row>
    <row r="58" ht="28.5" customHeight="1">
      <c r="A58" s="1"/>
      <c r="B58" s="1"/>
      <c r="C58" s="1"/>
      <c r="D58" s="1"/>
      <c r="E58" s="1"/>
      <c r="F58" s="1"/>
      <c r="G58" s="1"/>
    </row>
    <row r="59" ht="28.5" customHeight="1">
      <c r="A59" s="1"/>
      <c r="B59" s="1"/>
      <c r="C59" s="1"/>
      <c r="D59" s="1"/>
      <c r="E59" s="1"/>
      <c r="F59" s="1"/>
      <c r="G59" s="1"/>
    </row>
    <row r="60" ht="28.5" customHeight="1">
      <c r="A60" s="1"/>
      <c r="B60" s="1"/>
      <c r="C60" s="1"/>
      <c r="D60" s="1"/>
      <c r="E60" s="1"/>
      <c r="F60" s="1"/>
      <c r="G60" s="1"/>
    </row>
    <row r="61" ht="28.5" customHeight="1">
      <c r="A61" s="1"/>
      <c r="B61" s="1"/>
      <c r="C61" s="1"/>
      <c r="D61" s="1"/>
      <c r="E61" s="1"/>
      <c r="F61" s="1"/>
      <c r="G61" s="1"/>
    </row>
    <row r="62" ht="28.5" customHeight="1">
      <c r="A62" s="1"/>
      <c r="B62" s="1"/>
      <c r="C62" s="1"/>
      <c r="D62" s="1"/>
      <c r="E62" s="1"/>
      <c r="F62" s="1"/>
      <c r="G62" s="1"/>
    </row>
    <row r="63" ht="28.5" customHeight="1">
      <c r="A63" s="1"/>
      <c r="B63" s="1"/>
      <c r="C63" s="1"/>
      <c r="D63" s="1"/>
      <c r="E63" s="1"/>
      <c r="F63" s="1"/>
      <c r="G63" s="1"/>
    </row>
    <row r="64" ht="28.5" customHeight="1">
      <c r="A64" s="1"/>
      <c r="B64" s="1"/>
      <c r="C64" s="1"/>
      <c r="D64" s="1"/>
      <c r="E64" s="1"/>
      <c r="F64" s="1"/>
      <c r="G64" s="1"/>
    </row>
    <row r="65" ht="28.5" customHeight="1">
      <c r="A65" s="1"/>
      <c r="B65" s="1"/>
      <c r="C65" s="1"/>
      <c r="D65" s="1"/>
      <c r="E65" s="1"/>
      <c r="F65" s="1"/>
      <c r="G65" s="1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